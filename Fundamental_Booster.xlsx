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l_Project_Data\EXCEL_PROJECTS\Project 1\"/>
    </mc:Choice>
  </mc:AlternateContent>
  <xr:revisionPtr revIDLastSave="0" documentId="13_ncr:1_{D0C21DA6-C94B-4245-BC6B-1D85B3B70956}" xr6:coauthVersionLast="47" xr6:coauthVersionMax="47" xr10:uidLastSave="{00000000-0000-0000-0000-000000000000}"/>
  <bookViews>
    <workbookView xWindow="-120" yWindow="-120" windowWidth="20730" windowHeight="11040" activeTab="2" xr2:uid="{9A681CB3-562D-4114-9D0B-20B213D7B8DC}"/>
  </bookViews>
  <sheets>
    <sheet name="Students Grade " sheetId="1" r:id="rId1"/>
    <sheet name="Sales Date" sheetId="2" r:id="rId2"/>
    <sheet name="Employee Da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4" i="2" l="1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C50" i="2" a="1"/>
  <c r="C50" i="2" s="1"/>
  <c r="H25" i="1"/>
  <c r="D37" i="1"/>
  <c r="D38" i="1"/>
  <c r="D39" i="1"/>
  <c r="D40" i="1"/>
  <c r="D36" i="1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6" i="3"/>
  <c r="C40" i="1"/>
  <c r="C37" i="1"/>
  <c r="C38" i="1"/>
  <c r="C39" i="1"/>
  <c r="C36" i="1"/>
  <c r="H7" i="2"/>
  <c r="I7" i="2" s="1"/>
  <c r="B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13" i="2"/>
  <c r="B86" i="2" a="1"/>
  <c r="B86" i="2" s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9" i="1"/>
  <c r="H26" i="2"/>
  <c r="I26" i="2" s="1"/>
  <c r="G26" i="2"/>
  <c r="B76" i="2"/>
  <c r="B44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6" i="3"/>
  <c r="B34" i="3" a="1"/>
  <c r="B34" i="3" s="1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A58" i="2" s="1" a="1"/>
  <c r="A58" i="2" s="1"/>
  <c r="G24" i="2"/>
  <c r="G25" i="2"/>
  <c r="G7" i="2"/>
  <c r="C61" i="1"/>
  <c r="A47" i="1"/>
  <c r="C34" i="2"/>
  <c r="H8" i="2"/>
  <c r="I8" i="2" s="1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G10" i="1"/>
  <c r="H10" i="1" s="1"/>
  <c r="I10" i="1" s="1"/>
  <c r="G11" i="1"/>
  <c r="H11" i="1" s="1"/>
  <c r="I11" i="1" s="1"/>
  <c r="G12" i="1"/>
  <c r="H12" i="1" s="1"/>
  <c r="I12" i="1" s="1"/>
  <c r="G13" i="1"/>
  <c r="H13" i="1" s="1"/>
  <c r="I13" i="1" s="1"/>
  <c r="G14" i="1"/>
  <c r="H14" i="1" s="1"/>
  <c r="I14" i="1" s="1"/>
  <c r="G15" i="1"/>
  <c r="H15" i="1" s="1"/>
  <c r="I15" i="1" s="1"/>
  <c r="G16" i="1"/>
  <c r="H16" i="1" s="1"/>
  <c r="I16" i="1" s="1"/>
  <c r="G17" i="1"/>
  <c r="H17" i="1" s="1"/>
  <c r="I17" i="1" s="1"/>
  <c r="G18" i="1"/>
  <c r="H18" i="1" s="1"/>
  <c r="I18" i="1" s="1"/>
  <c r="G19" i="1"/>
  <c r="H19" i="1" s="1"/>
  <c r="I19" i="1" s="1"/>
  <c r="G20" i="1"/>
  <c r="H20" i="1" s="1"/>
  <c r="I20" i="1" s="1"/>
  <c r="G21" i="1"/>
  <c r="H21" i="1" s="1"/>
  <c r="I21" i="1" s="1"/>
  <c r="G22" i="1"/>
  <c r="H22" i="1" s="1"/>
  <c r="I22" i="1" s="1"/>
  <c r="G23" i="1"/>
  <c r="H23" i="1" s="1"/>
  <c r="I23" i="1" s="1"/>
  <c r="G24" i="1"/>
  <c r="H24" i="1" s="1"/>
  <c r="I24" i="1" s="1"/>
  <c r="G25" i="1"/>
  <c r="I25" i="1" s="1"/>
  <c r="G26" i="1"/>
  <c r="H26" i="1" s="1"/>
  <c r="I26" i="1" s="1"/>
  <c r="G27" i="1"/>
  <c r="H27" i="1" s="1"/>
  <c r="I27" i="1" s="1"/>
  <c r="G28" i="1"/>
  <c r="H28" i="1" s="1"/>
  <c r="I28" i="1" s="1"/>
  <c r="G9" i="1"/>
  <c r="H9" i="1" s="1"/>
  <c r="I9" i="1" s="1"/>
  <c r="C54" i="3" a="1"/>
  <c r="C53" i="3" a="1"/>
  <c r="C67" i="2" l="1" a="1"/>
  <c r="C67" i="2" s="1"/>
  <c r="A86" i="2" a="1"/>
  <c r="A86" i="2" s="1"/>
  <c r="A72" i="1" a="1"/>
  <c r="A72" i="1" s="1"/>
  <c r="A54" i="1"/>
  <c r="C54" i="3"/>
  <c r="C5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<sst xmlns="http://schemas.openxmlformats.org/spreadsheetml/2006/main" count="270" uniqueCount="169">
  <si>
    <t>Student ID</t>
  </si>
  <si>
    <t>Name</t>
  </si>
  <si>
    <t>Math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</si>
  <si>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</si>
  <si>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</si>
  <si>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</si>
  <si>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</si>
  <si>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</si>
  <si>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</si>
  <si>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</si>
  <si>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</si>
  <si>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</si>
  <si>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</si>
  <si>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</si>
  <si>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</si>
  <si>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</si>
  <si>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</si>
  <si>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</si>
  <si>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</si>
  <si>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</si>
  <si>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</si>
  <si>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</si>
  <si>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</si>
  <si>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</si>
  <si>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</si>
  <si>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</si>
  <si>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</si>
  <si>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</si>
  <si>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</si>
  <si>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</si>
  <si>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</si>
  <si>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</si>
  <si>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</si>
  <si>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</si>
  <si>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</si>
  <si>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</si>
  <si>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</si>
  <si>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</si>
  <si>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</si>
  <si>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</si>
  <si>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</si>
  <si>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</si>
  <si>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</si>
  <si>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</si>
  <si>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</si>
  <si>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</si>
  <si>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</si>
  <si>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</si>
  <si>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</si>
  <si>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</si>
  <si>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</si>
  <si>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</si>
  <si>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</si>
  <si>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</si>
  <si>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</si>
  <si>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</si>
  <si>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</si>
  <si>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</si>
  <si>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</si>
  <si>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</si>
  <si>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</si>
  <si>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</si>
  <si>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</si>
  <si>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</si>
  <si>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</si>
  <si>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</si>
  <si>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</si>
  <si>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</si>
  <si>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</si>
  <si>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</si>
  <si>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</si>
  <si>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</si>
  <si>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</si>
  <si>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</si>
  <si>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</si>
  <si>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</si>
  <si>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</si>
  <si>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</si>
  <si>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</si>
  <si>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</si>
  <si>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</si>
  <si>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</si>
  <si>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</si>
  <si>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</si>
  <si>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</si>
  <si>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</si>
  <si>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</si>
  <si>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</si>
  <si>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</si>
  <si>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Task</t>
  </si>
  <si>
    <t>Classify Student's Grades Based On their Scores</t>
  </si>
  <si>
    <t>Total Score</t>
  </si>
  <si>
    <t>Percentag</t>
  </si>
  <si>
    <t>Grades</t>
  </si>
  <si>
    <t>Compute Discounts for sales based on price thresholds</t>
  </si>
  <si>
    <t>Discount</t>
  </si>
  <si>
    <t>Identify students who scored above 80 in both Math &amp; Science using if(And(…))</t>
  </si>
  <si>
    <t>Status</t>
  </si>
  <si>
    <t>Determine Whwther A Product is eligible for discount using if(or(…))</t>
  </si>
  <si>
    <t>Count The Number of Students Who Scored above 50 in Math</t>
  </si>
  <si>
    <t>Sum total sales for specific region and product</t>
  </si>
  <si>
    <t xml:space="preserve">Select Region </t>
  </si>
  <si>
    <t>Select Product</t>
  </si>
  <si>
    <t>Total Sales</t>
  </si>
  <si>
    <t>Number of Student above 50 mark in math</t>
  </si>
  <si>
    <t>Calculate The Average Score For Student Who Scored Above 60</t>
  </si>
  <si>
    <t xml:space="preserve"> Student Average Score Above 60</t>
  </si>
  <si>
    <t xml:space="preserve">Fetch Student names based on ID from a separate dataset </t>
  </si>
  <si>
    <t>Select Student ID</t>
  </si>
  <si>
    <t>Student Name</t>
  </si>
  <si>
    <t>Retrieve Product Price based on product codes</t>
  </si>
  <si>
    <t xml:space="preserve">select Product Code </t>
  </si>
  <si>
    <t>Product Price</t>
  </si>
  <si>
    <t>Find Sales Values for a Specfic salesPerson in a specific Month</t>
  </si>
  <si>
    <t xml:space="preserve">Sales Person </t>
  </si>
  <si>
    <t>Sales</t>
  </si>
  <si>
    <t>Month</t>
  </si>
  <si>
    <t>Months</t>
  </si>
  <si>
    <t>Look up employee derails Dynamically without column restrictions</t>
  </si>
  <si>
    <t>Slecet Employee ID</t>
  </si>
  <si>
    <t>Extract the first name from full names using LEFT and FIND</t>
  </si>
  <si>
    <t>Convert names to uppercase / lowercase using Upper() , Lower()</t>
  </si>
  <si>
    <t>UpperCase</t>
  </si>
  <si>
    <t>LowerCase</t>
  </si>
  <si>
    <t>Search for salesperson performance based on flexible search criteria</t>
  </si>
  <si>
    <t>Find employee salaries Without worrying about sorted data</t>
  </si>
  <si>
    <t>select Employee ID</t>
  </si>
  <si>
    <t>Find The position of a product in a sales list</t>
  </si>
  <si>
    <t xml:space="preserve">select Product </t>
  </si>
  <si>
    <t xml:space="preserve">Product Position </t>
  </si>
  <si>
    <t>Dynamically reference a cell range using indirect</t>
  </si>
  <si>
    <t>Cell Reference Type</t>
  </si>
  <si>
    <t>Cell Address</t>
  </si>
  <si>
    <t>B12</t>
  </si>
  <si>
    <t xml:space="preserve"> cell Value</t>
  </si>
  <si>
    <t>r1c1</t>
  </si>
  <si>
    <t>r12c4</t>
  </si>
  <si>
    <t>column/row</t>
  </si>
  <si>
    <t>Create dynamic ranges for sales trends</t>
  </si>
  <si>
    <t>Dyanamic Rnage</t>
  </si>
  <si>
    <t xml:space="preserve">Calculate age from date of birth </t>
  </si>
  <si>
    <t>Find the Difference in day between two dates</t>
  </si>
  <si>
    <t>Extrect a list of top - performing students based on scores</t>
  </si>
  <si>
    <t>select Marks</t>
  </si>
  <si>
    <t>Use Round(),Ceiling(),and floor() for financal calculations</t>
  </si>
  <si>
    <t>Above 80 in Math &amp;Science</t>
  </si>
  <si>
    <t>Round()</t>
  </si>
  <si>
    <t>Ceiling()</t>
  </si>
  <si>
    <t>Floor()</t>
  </si>
  <si>
    <t xml:space="preserve">Difference Days </t>
  </si>
  <si>
    <t xml:space="preserve">Student Name </t>
  </si>
  <si>
    <t>Dob</t>
  </si>
  <si>
    <t>Ananya Desai</t>
  </si>
  <si>
    <t>Rohan Joshi</t>
  </si>
  <si>
    <t>Priya Trivedi</t>
  </si>
  <si>
    <t>Neha Patel</t>
  </si>
  <si>
    <t>Yash Mehta</t>
  </si>
  <si>
    <t>Age</t>
  </si>
  <si>
    <t>Select Sales PersonName</t>
  </si>
  <si>
    <t>First Name</t>
  </si>
  <si>
    <t>percentage</t>
  </si>
  <si>
    <t>Product Name</t>
  </si>
  <si>
    <t xml:space="preserve">Product Code </t>
  </si>
  <si>
    <t>Price</t>
  </si>
  <si>
    <t>Laop25</t>
  </si>
  <si>
    <t>Key12</t>
  </si>
  <si>
    <t>Moni89</t>
  </si>
  <si>
    <t>Prin11</t>
  </si>
  <si>
    <t>Mou36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</si>
</sst>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&quot;₹&quot;\ #,##0.00"/>
    <numFmt numFmtId="165" formatCode="&quot;₹&quot;\ #,##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0"/>
      <name val="Calibri"/>
      <family val="2"/>
    </font>
    <font>
      <sz val="10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1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4" fontId="4" fillId="0" borderId="1" xfId="0" applyNumberFormat="1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2" fontId="0" fillId="0" borderId="0" xfId="0" applyNumberFormat="1"/>
    <xf numFmtId="2" fontId="0" fillId="0" borderId="1" xfId="2" applyNumberFormat="1" applyFont="1" applyBorder="1" applyAlignment="1">
      <alignment horizontal="center" vertical="center"/>
    </xf>
    <xf numFmtId="2" fontId="0" fillId="0" borderId="0" xfId="2" applyNumberFormat="1" applyFont="1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/>
    <xf numFmtId="9" fontId="0" fillId="0" borderId="1" xfId="2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8" fillId="0" borderId="0" xfId="0" applyFont="1" applyFill="1" applyBorder="1" applyAlignment="1"/>
    <xf numFmtId="0" fontId="2" fillId="0" borderId="0" xfId="0" applyFont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" fillId="4" borderId="1" xfId="0" applyFont="1" applyFill="1" applyBorder="1"/>
    <xf numFmtId="14" fontId="0" fillId="0" borderId="0" xfId="0" applyNumberFormat="1"/>
    <xf numFmtId="14" fontId="5" fillId="2" borderId="2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14" fontId="0" fillId="0" borderId="1" xfId="0" applyNumberFormat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 wrapText="1"/>
    </xf>
    <xf numFmtId="164" fontId="12" fillId="3" borderId="3" xfId="0" applyNumberFormat="1" applyFont="1" applyFill="1" applyBorder="1" applyAlignment="1">
      <alignment horizontal="center" vertical="center" wrapText="1"/>
    </xf>
    <xf numFmtId="14" fontId="12" fillId="3" borderId="3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8" fillId="3" borderId="0" xfId="0" applyFont="1" applyFill="1" applyAlignment="1">
      <alignment horizontal="center" vertical="center"/>
    </xf>
    <xf numFmtId="14" fontId="4" fillId="0" borderId="0" xfId="0" applyNumberFormat="1" applyFont="1" applyFill="1" applyBorder="1" applyAlignment="1">
      <alignment horizontal="center" vertical="center" wrapText="1"/>
    </xf>
    <xf numFmtId="9" fontId="0" fillId="0" borderId="0" xfId="2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164" fontId="4" fillId="0" borderId="3" xfId="0" applyNumberFormat="1" applyFont="1" applyFill="1" applyBorder="1" applyAlignment="1">
      <alignment horizontal="center" vertical="center" wrapText="1"/>
    </xf>
    <xf numFmtId="14" fontId="4" fillId="0" borderId="3" xfId="0" applyNumberFormat="1" applyFont="1" applyFill="1" applyBorder="1" applyAlignment="1">
      <alignment horizontal="center" vertical="center" wrapText="1"/>
    </xf>
    <xf numFmtId="9" fontId="0" fillId="0" borderId="3" xfId="2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horizontal="center" vertical="center" wrapText="1"/>
    </xf>
    <xf numFmtId="14" fontId="4" fillId="0" borderId="0" xfId="0" applyNumberFormat="1" applyFont="1" applyBorder="1" applyAlignment="1">
      <alignment horizontal="center" vertical="center" wrapText="1"/>
    </xf>
    <xf numFmtId="2" fontId="0" fillId="0" borderId="0" xfId="2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right"/>
    </xf>
    <xf numFmtId="2" fontId="0" fillId="0" borderId="0" xfId="2" applyNumberFormat="1" applyFont="1" applyBorder="1" applyAlignment="1">
      <alignment horizontal="right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NumberFormat="1" applyFont="1" applyFill="1" applyBorder="1" applyAlignment="1">
      <alignment horizontal="center" vertical="center" wrapText="1"/>
    </xf>
    <xf numFmtId="164" fontId="4" fillId="0" borderId="0" xfId="0" applyNumberFormat="1" applyFont="1" applyBorder="1" applyAlignment="1">
      <alignment horizontal="center" vertical="center" wrapText="1"/>
    </xf>
    <xf numFmtId="0" fontId="0" fillId="0" borderId="0" xfId="0" applyFont="1" applyBorder="1"/>
    <xf numFmtId="0" fontId="0" fillId="0" borderId="0" xfId="1" applyNumberFormat="1" applyFont="1" applyBorder="1" applyAlignment="1">
      <alignment horizontal="center"/>
    </xf>
    <xf numFmtId="0" fontId="0" fillId="0" borderId="0" xfId="1" applyNumberFormat="1" applyFont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2" fillId="0" borderId="0" xfId="0" applyFont="1"/>
    <xf numFmtId="165" fontId="4" fillId="0" borderId="1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14" fontId="0" fillId="0" borderId="0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2" fontId="0" fillId="0" borderId="1" xfId="2" applyNumberFormat="1" applyFon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9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righ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11" fillId="4" borderId="0" xfId="0" applyFont="1" applyFill="1" applyAlignment="1">
      <alignment horizontal="center" vertical="center"/>
    </xf>
    <xf numFmtId="2" fontId="0" fillId="0" borderId="7" xfId="2" applyNumberFormat="1" applyFont="1" applyBorder="1" applyAlignment="1">
      <alignment horizontal="right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64" fontId="0" fillId="0" borderId="1" xfId="0" applyNumberFormat="1" applyBorder="1"/>
    <xf numFmtId="0" fontId="4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Font="1" applyBorder="1" applyAlignment="1">
      <alignment horizontal="center" vertical="center"/>
    </xf>
    <xf numFmtId="0" fontId="0" fillId="3" borderId="1" xfId="0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0DF1D-9F72-4AFF-B0A6-E9684DFAC677}">
  <dimension ref="A1:L84"/>
  <sheetViews>
    <sheetView workbookViewId="0">
      <selection activeCell="A5" sqref="A5"/>
    </sheetView>
  </sheetViews>
  <sheetFormatPr defaultRowHeight="15" x14ac:dyDescent="0.25"/>
  <cols>
    <col min="1" max="1" width="12.28515625" customWidth="1"/>
    <col min="2" max="2" width="15.85546875" customWidth="1"/>
    <col min="3" max="3" width="12" customWidth="1"/>
    <col min="4" max="4" width="12.85546875" customWidth="1"/>
    <col min="5" max="5" width="12.28515625" customWidth="1"/>
    <col min="6" max="6" width="18.28515625" customWidth="1"/>
    <col min="7" max="7" width="16.42578125" customWidth="1"/>
    <col min="8" max="8" width="20.7109375" customWidth="1"/>
    <col min="9" max="9" width="11" customWidth="1"/>
    <col min="10" max="10" width="25.140625" customWidth="1"/>
    <col min="11" max="11" width="9" customWidth="1"/>
    <col min="12" max="12" width="14" customWidth="1"/>
    <col min="13" max="13" width="14.140625" customWidth="1"/>
  </cols>
  <sheetData>
    <row r="1" spans="1:10" ht="15.75" x14ac:dyDescent="0.25">
      <c r="A1" s="76" t="s">
        <v>89</v>
      </c>
      <c r="B1" s="77"/>
      <c r="C1" s="77"/>
      <c r="D1" s="77"/>
      <c r="E1" s="77"/>
      <c r="F1" s="77"/>
      <c r="G1" s="77"/>
      <c r="H1" s="78"/>
    </row>
    <row r="2" spans="1:10" x14ac:dyDescent="0.25">
      <c r="A2" s="11">
        <v>1</v>
      </c>
      <c r="B2" s="81" t="s">
        <v>90</v>
      </c>
      <c r="C2" s="81"/>
      <c r="D2" s="81"/>
      <c r="E2" s="81"/>
      <c r="F2" s="81"/>
      <c r="G2" s="81"/>
      <c r="H2" s="81"/>
    </row>
    <row r="3" spans="1:10" x14ac:dyDescent="0.25">
      <c r="A3" s="11">
        <v>2</v>
      </c>
      <c r="B3" s="81" t="s">
        <v>96</v>
      </c>
      <c r="C3" s="81"/>
      <c r="D3" s="81"/>
      <c r="E3" s="81"/>
      <c r="F3" s="81"/>
      <c r="G3" s="81"/>
      <c r="H3" s="81"/>
    </row>
    <row r="8" spans="1:10" ht="15" customHeight="1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4" t="s">
        <v>5</v>
      </c>
      <c r="G8" s="12" t="s">
        <v>91</v>
      </c>
      <c r="H8" s="12" t="s">
        <v>160</v>
      </c>
      <c r="I8" s="12" t="s">
        <v>93</v>
      </c>
      <c r="J8" s="12" t="s">
        <v>145</v>
      </c>
    </row>
    <row r="9" spans="1:10" ht="15" customHeight="1" x14ac:dyDescent="0.25">
      <c r="A9" s="2">
        <v>1001</v>
      </c>
      <c r="B9" s="2" t="s">
        <v>6</v>
      </c>
      <c r="C9" s="2">
        <v>61</v>
      </c>
      <c r="D9" s="2">
        <v>48</v>
      </c>
      <c r="E9" s="2">
        <v>76</v>
      </c>
      <c r="F9" s="5">
        <v>43101</v>
      </c>
      <c r="G9" s="13">
        <f>SUM(C9:E9)</f>
        <v>185</v>
      </c>
      <c r="H9" s="15">
        <f>G9/300*100</f>
        <v>61.666666666666671</v>
      </c>
      <c r="I9" s="17" t="str">
        <f>IF(H9&gt;90,"A+",IF(H9&gt;80,"A",IF(H9&gt;70,"B",IF(H9&gt;60,"C",IF(H9&gt;50,"D",IF(H9&gt;40,"E","Fail"))))))</f>
        <v>C</v>
      </c>
      <c r="J9" s="17" t="str">
        <f>IF(AND(C9&gt;80,D9&gt;80),"Yes","No")</f>
        <v>No</v>
      </c>
    </row>
    <row r="10" spans="1:10" ht="15" customHeight="1" x14ac:dyDescent="0.25">
      <c r="A10" s="2">
        <v>1002</v>
      </c>
      <c r="B10" s="2" t="s">
        <v>7</v>
      </c>
      <c r="C10" s="2">
        <v>78</v>
      </c>
      <c r="D10" s="2">
        <v>76</v>
      </c>
      <c r="E10" s="2">
        <v>70</v>
      </c>
      <c r="F10" s="5">
        <v>43281</v>
      </c>
      <c r="G10" s="13">
        <f t="shared" ref="G10:G28" si="0">SUM(C10:E10)</f>
        <v>224</v>
      </c>
      <c r="H10" s="15">
        <f t="shared" ref="H10:H28" si="1">G10/300*100</f>
        <v>74.666666666666671</v>
      </c>
      <c r="I10" s="17" t="str">
        <f t="shared" ref="I10:I28" si="2">IF(H10&gt;90,"A+",IF(H10&gt;80,"A",IF(H10&gt;70,"B",IF(H10&gt;60,"C",IF(H10&gt;50,"D",IF(H10&gt;40,"E","Fail"))))))</f>
        <v>B</v>
      </c>
      <c r="J10" s="17" t="str">
        <f t="shared" ref="J10:J28" si="3">IF(AND(C10&gt;80,D10&gt;80),"Yes","No")</f>
        <v>No</v>
      </c>
    </row>
    <row r="11" spans="1:10" ht="15" customHeight="1" x14ac:dyDescent="0.25">
      <c r="A11" s="2">
        <v>1003</v>
      </c>
      <c r="B11" s="2" t="s">
        <v>8</v>
      </c>
      <c r="C11" s="2">
        <v>97</v>
      </c>
      <c r="D11" s="2">
        <v>60</v>
      </c>
      <c r="E11" s="2">
        <v>51</v>
      </c>
      <c r="F11" s="5">
        <v>43461</v>
      </c>
      <c r="G11" s="13">
        <f t="shared" si="0"/>
        <v>208</v>
      </c>
      <c r="H11" s="15">
        <f t="shared" si="1"/>
        <v>69.333333333333343</v>
      </c>
      <c r="I11" s="17" t="str">
        <f t="shared" si="2"/>
        <v>C</v>
      </c>
      <c r="J11" s="17" t="str">
        <f t="shared" si="3"/>
        <v>No</v>
      </c>
    </row>
    <row r="12" spans="1:10" ht="15" customHeight="1" x14ac:dyDescent="0.25">
      <c r="A12" s="2">
        <v>1004</v>
      </c>
      <c r="B12" s="2" t="s">
        <v>9</v>
      </c>
      <c r="C12" s="2">
        <v>74</v>
      </c>
      <c r="D12" s="2">
        <v>55</v>
      </c>
      <c r="E12" s="2">
        <v>46</v>
      </c>
      <c r="F12" s="5">
        <v>43641</v>
      </c>
      <c r="G12" s="13">
        <f t="shared" si="0"/>
        <v>175</v>
      </c>
      <c r="H12" s="15">
        <f t="shared" si="1"/>
        <v>58.333333333333336</v>
      </c>
      <c r="I12" s="17" t="str">
        <f t="shared" si="2"/>
        <v>D</v>
      </c>
      <c r="J12" s="17" t="str">
        <f t="shared" si="3"/>
        <v>No</v>
      </c>
    </row>
    <row r="13" spans="1:10" ht="15" customHeight="1" x14ac:dyDescent="0.25">
      <c r="A13" s="2">
        <v>1005</v>
      </c>
      <c r="B13" s="2" t="s">
        <v>10</v>
      </c>
      <c r="C13" s="2">
        <v>68</v>
      </c>
      <c r="D13" s="2">
        <v>74</v>
      </c>
      <c r="E13" s="2">
        <v>84</v>
      </c>
      <c r="F13" s="5">
        <v>43821</v>
      </c>
      <c r="G13" s="13">
        <f t="shared" si="0"/>
        <v>226</v>
      </c>
      <c r="H13" s="15">
        <f t="shared" si="1"/>
        <v>75.333333333333329</v>
      </c>
      <c r="I13" s="17" t="str">
        <f t="shared" si="2"/>
        <v>B</v>
      </c>
      <c r="J13" s="17" t="str">
        <f t="shared" si="3"/>
        <v>No</v>
      </c>
    </row>
    <row r="14" spans="1:10" ht="15" customHeight="1" x14ac:dyDescent="0.25">
      <c r="A14" s="2">
        <v>1006</v>
      </c>
      <c r="B14" s="2" t="s">
        <v>11</v>
      </c>
      <c r="C14" s="2">
        <v>80</v>
      </c>
      <c r="D14" s="2">
        <v>70</v>
      </c>
      <c r="E14" s="2">
        <v>65</v>
      </c>
      <c r="F14" s="5">
        <v>44001</v>
      </c>
      <c r="G14" s="13">
        <f t="shared" si="0"/>
        <v>215</v>
      </c>
      <c r="H14" s="15">
        <f t="shared" si="1"/>
        <v>71.666666666666671</v>
      </c>
      <c r="I14" s="17" t="str">
        <f t="shared" si="2"/>
        <v>B</v>
      </c>
      <c r="J14" s="17" t="str">
        <f t="shared" si="3"/>
        <v>No</v>
      </c>
    </row>
    <row r="15" spans="1:10" ht="15" customHeight="1" x14ac:dyDescent="0.25">
      <c r="A15" s="2">
        <v>1007</v>
      </c>
      <c r="B15" s="2" t="s">
        <v>12</v>
      </c>
      <c r="C15" s="2">
        <v>75</v>
      </c>
      <c r="D15" s="2">
        <v>47</v>
      </c>
      <c r="E15" s="2">
        <v>78</v>
      </c>
      <c r="F15" s="5">
        <v>44181</v>
      </c>
      <c r="G15" s="13">
        <f t="shared" si="0"/>
        <v>200</v>
      </c>
      <c r="H15" s="15">
        <f t="shared" si="1"/>
        <v>66.666666666666657</v>
      </c>
      <c r="I15" s="17" t="str">
        <f t="shared" si="2"/>
        <v>C</v>
      </c>
      <c r="J15" s="17" t="str">
        <f t="shared" si="3"/>
        <v>No</v>
      </c>
    </row>
    <row r="16" spans="1:10" ht="15" customHeight="1" x14ac:dyDescent="0.25">
      <c r="A16" s="2">
        <v>1008</v>
      </c>
      <c r="B16" s="2" t="s">
        <v>13</v>
      </c>
      <c r="C16" s="2">
        <v>94</v>
      </c>
      <c r="D16" s="2">
        <v>67</v>
      </c>
      <c r="E16" s="2">
        <v>64</v>
      </c>
      <c r="F16" s="5">
        <v>44361</v>
      </c>
      <c r="G16" s="13">
        <f t="shared" si="0"/>
        <v>225</v>
      </c>
      <c r="H16" s="15">
        <f t="shared" si="1"/>
        <v>75</v>
      </c>
      <c r="I16" s="17" t="str">
        <f t="shared" si="2"/>
        <v>B</v>
      </c>
      <c r="J16" s="17" t="str">
        <f t="shared" si="3"/>
        <v>No</v>
      </c>
    </row>
    <row r="17" spans="1:12" ht="15" customHeight="1" x14ac:dyDescent="0.25">
      <c r="A17" s="2">
        <v>1009</v>
      </c>
      <c r="B17" s="2" t="s">
        <v>14</v>
      </c>
      <c r="C17" s="2">
        <v>41</v>
      </c>
      <c r="D17" s="2">
        <v>75</v>
      </c>
      <c r="E17" s="2">
        <v>56</v>
      </c>
      <c r="F17" s="5">
        <v>44541</v>
      </c>
      <c r="G17" s="13">
        <f t="shared" si="0"/>
        <v>172</v>
      </c>
      <c r="H17" s="15">
        <f t="shared" si="1"/>
        <v>57.333333333333336</v>
      </c>
      <c r="I17" s="17" t="str">
        <f t="shared" si="2"/>
        <v>D</v>
      </c>
      <c r="J17" s="17" t="str">
        <f t="shared" si="3"/>
        <v>No</v>
      </c>
    </row>
    <row r="18" spans="1:12" ht="15" customHeight="1" x14ac:dyDescent="0.25">
      <c r="A18" s="2">
        <v>1010</v>
      </c>
      <c r="B18" s="2" t="s">
        <v>15</v>
      </c>
      <c r="C18" s="2">
        <v>98</v>
      </c>
      <c r="D18" s="2">
        <v>54</v>
      </c>
      <c r="E18" s="2">
        <v>58</v>
      </c>
      <c r="F18" s="5">
        <v>44721</v>
      </c>
      <c r="G18" s="13">
        <f t="shared" si="0"/>
        <v>210</v>
      </c>
      <c r="H18" s="15">
        <f t="shared" si="1"/>
        <v>70</v>
      </c>
      <c r="I18" s="17" t="str">
        <f t="shared" si="2"/>
        <v>C</v>
      </c>
      <c r="J18" s="17" t="str">
        <f t="shared" si="3"/>
        <v>No</v>
      </c>
    </row>
    <row r="19" spans="1:12" ht="15" customHeight="1" x14ac:dyDescent="0.25">
      <c r="A19" s="2">
        <v>1011</v>
      </c>
      <c r="B19" s="2" t="s">
        <v>16</v>
      </c>
      <c r="C19" s="2">
        <v>73</v>
      </c>
      <c r="D19" s="2">
        <v>79</v>
      </c>
      <c r="E19" s="2">
        <v>53</v>
      </c>
      <c r="F19" s="5">
        <v>44901</v>
      </c>
      <c r="G19" s="13">
        <f t="shared" si="0"/>
        <v>205</v>
      </c>
      <c r="H19" s="15">
        <f t="shared" si="1"/>
        <v>68.333333333333329</v>
      </c>
      <c r="I19" s="17" t="str">
        <f t="shared" si="2"/>
        <v>C</v>
      </c>
      <c r="J19" s="17" t="str">
        <f t="shared" si="3"/>
        <v>No</v>
      </c>
    </row>
    <row r="20" spans="1:12" ht="15" customHeight="1" x14ac:dyDescent="0.25">
      <c r="A20" s="2">
        <v>1012</v>
      </c>
      <c r="B20" s="2" t="s">
        <v>17</v>
      </c>
      <c r="C20" s="2">
        <v>85</v>
      </c>
      <c r="D20" s="2">
        <v>89</v>
      </c>
      <c r="E20" s="2">
        <v>79</v>
      </c>
      <c r="F20" s="5">
        <v>45081</v>
      </c>
      <c r="G20" s="13">
        <f t="shared" si="0"/>
        <v>253</v>
      </c>
      <c r="H20" s="15">
        <f t="shared" si="1"/>
        <v>84.333333333333343</v>
      </c>
      <c r="I20" s="17" t="str">
        <f t="shared" si="2"/>
        <v>A</v>
      </c>
      <c r="J20" s="17" t="str">
        <f t="shared" si="3"/>
        <v>Yes</v>
      </c>
    </row>
    <row r="21" spans="1:12" ht="15" customHeight="1" x14ac:dyDescent="0.25">
      <c r="A21" s="2">
        <v>1013</v>
      </c>
      <c r="B21" s="2" t="s">
        <v>18</v>
      </c>
      <c r="C21" s="2">
        <v>98</v>
      </c>
      <c r="D21" s="2">
        <v>90</v>
      </c>
      <c r="E21" s="2">
        <v>97</v>
      </c>
      <c r="F21" s="5">
        <v>45261</v>
      </c>
      <c r="G21" s="13">
        <f t="shared" si="0"/>
        <v>285</v>
      </c>
      <c r="H21" s="15">
        <f t="shared" si="1"/>
        <v>95</v>
      </c>
      <c r="I21" s="17" t="str">
        <f t="shared" si="2"/>
        <v>A+</v>
      </c>
      <c r="J21" s="17" t="str">
        <f t="shared" si="3"/>
        <v>Yes</v>
      </c>
    </row>
    <row r="22" spans="1:12" ht="15" customHeight="1" x14ac:dyDescent="0.25">
      <c r="A22" s="2">
        <v>1014</v>
      </c>
      <c r="B22" s="2" t="s">
        <v>19</v>
      </c>
      <c r="C22" s="2">
        <v>93</v>
      </c>
      <c r="D22" s="2">
        <v>40</v>
      </c>
      <c r="E22" s="2">
        <v>44</v>
      </c>
      <c r="F22" s="5">
        <v>45441</v>
      </c>
      <c r="G22" s="13">
        <f t="shared" si="0"/>
        <v>177</v>
      </c>
      <c r="H22" s="15">
        <f t="shared" si="1"/>
        <v>59</v>
      </c>
      <c r="I22" s="17" t="str">
        <f t="shared" si="2"/>
        <v>D</v>
      </c>
      <c r="J22" s="17" t="str">
        <f t="shared" si="3"/>
        <v>No</v>
      </c>
    </row>
    <row r="23" spans="1:12" ht="15" customHeight="1" x14ac:dyDescent="0.25">
      <c r="A23" s="2">
        <v>1015</v>
      </c>
      <c r="B23" s="2" t="s">
        <v>20</v>
      </c>
      <c r="C23" s="2">
        <v>70</v>
      </c>
      <c r="D23" s="2">
        <v>51</v>
      </c>
      <c r="E23" s="2">
        <v>75</v>
      </c>
      <c r="F23" s="5">
        <v>45621</v>
      </c>
      <c r="G23" s="13">
        <f t="shared" si="0"/>
        <v>196</v>
      </c>
      <c r="H23" s="15">
        <f t="shared" si="1"/>
        <v>65.333333333333329</v>
      </c>
      <c r="I23" s="17" t="str">
        <f t="shared" si="2"/>
        <v>C</v>
      </c>
      <c r="J23" s="17" t="str">
        <f t="shared" si="3"/>
        <v>No</v>
      </c>
    </row>
    <row r="24" spans="1:12" ht="15" customHeight="1" x14ac:dyDescent="0.25">
      <c r="A24" s="2">
        <v>1016</v>
      </c>
      <c r="B24" s="2" t="s">
        <v>21</v>
      </c>
      <c r="C24" s="2">
        <v>98</v>
      </c>
      <c r="D24" s="2">
        <v>77</v>
      </c>
      <c r="E24" s="2">
        <v>60</v>
      </c>
      <c r="F24" s="5">
        <v>45801</v>
      </c>
      <c r="G24" s="13">
        <f t="shared" si="0"/>
        <v>235</v>
      </c>
      <c r="H24" s="15">
        <f t="shared" si="1"/>
        <v>78.333333333333329</v>
      </c>
      <c r="I24" s="17" t="str">
        <f t="shared" si="2"/>
        <v>B</v>
      </c>
      <c r="J24" s="17" t="str">
        <f t="shared" si="3"/>
        <v>No</v>
      </c>
    </row>
    <row r="25" spans="1:12" ht="15" customHeight="1" x14ac:dyDescent="0.25">
      <c r="A25" s="2">
        <v>1017</v>
      </c>
      <c r="B25" s="2" t="s">
        <v>22</v>
      </c>
      <c r="C25" s="2">
        <v>66</v>
      </c>
      <c r="D25" s="2">
        <v>59</v>
      </c>
      <c r="E25" s="2">
        <v>40</v>
      </c>
      <c r="F25" s="5">
        <v>45981</v>
      </c>
      <c r="G25" s="13">
        <f t="shared" si="0"/>
        <v>165</v>
      </c>
      <c r="H25" s="15">
        <f>G25/300*100</f>
        <v>55.000000000000007</v>
      </c>
      <c r="I25" s="17" t="str">
        <f t="shared" si="2"/>
        <v>D</v>
      </c>
      <c r="J25" s="17" t="str">
        <f t="shared" si="3"/>
        <v>No</v>
      </c>
    </row>
    <row r="26" spans="1:12" ht="15" customHeight="1" x14ac:dyDescent="0.25">
      <c r="A26" s="2">
        <v>1018</v>
      </c>
      <c r="B26" s="2" t="s">
        <v>23</v>
      </c>
      <c r="C26" s="2">
        <v>82</v>
      </c>
      <c r="D26" s="2">
        <v>48</v>
      </c>
      <c r="E26" s="2">
        <v>79</v>
      </c>
      <c r="F26" s="5">
        <v>46161</v>
      </c>
      <c r="G26" s="13">
        <f t="shared" si="0"/>
        <v>209</v>
      </c>
      <c r="H26" s="15">
        <f t="shared" si="1"/>
        <v>69.666666666666671</v>
      </c>
      <c r="I26" s="17" t="str">
        <f t="shared" si="2"/>
        <v>C</v>
      </c>
      <c r="J26" s="17" t="str">
        <f t="shared" si="3"/>
        <v>No</v>
      </c>
    </row>
    <row r="27" spans="1:12" ht="15" customHeight="1" x14ac:dyDescent="0.25">
      <c r="A27" s="2">
        <v>1019</v>
      </c>
      <c r="B27" s="2" t="s">
        <v>24</v>
      </c>
      <c r="C27" s="2">
        <v>90</v>
      </c>
      <c r="D27" s="2">
        <v>78</v>
      </c>
      <c r="E27" s="2">
        <v>60</v>
      </c>
      <c r="F27" s="5">
        <v>46341</v>
      </c>
      <c r="G27" s="13">
        <f t="shared" si="0"/>
        <v>228</v>
      </c>
      <c r="H27" s="15">
        <f t="shared" si="1"/>
        <v>76</v>
      </c>
      <c r="I27" s="17" t="str">
        <f t="shared" si="2"/>
        <v>B</v>
      </c>
      <c r="J27" s="17" t="str">
        <f t="shared" si="3"/>
        <v>No</v>
      </c>
    </row>
    <row r="28" spans="1:12" ht="15" customHeight="1" x14ac:dyDescent="0.25">
      <c r="A28" s="2">
        <v>1020</v>
      </c>
      <c r="B28" s="2" t="s">
        <v>25</v>
      </c>
      <c r="C28" s="2">
        <v>83</v>
      </c>
      <c r="D28" s="2">
        <v>92</v>
      </c>
      <c r="E28" s="2">
        <v>55</v>
      </c>
      <c r="F28" s="5">
        <v>46521</v>
      </c>
      <c r="G28" s="13">
        <f t="shared" si="0"/>
        <v>230</v>
      </c>
      <c r="H28" s="15">
        <f t="shared" si="1"/>
        <v>76.666666666666671</v>
      </c>
      <c r="I28" s="17" t="str">
        <f t="shared" si="2"/>
        <v>B</v>
      </c>
      <c r="J28" s="17" t="str">
        <f t="shared" si="3"/>
        <v>Yes</v>
      </c>
    </row>
    <row r="29" spans="1:12" ht="15" customHeight="1" x14ac:dyDescent="0.25">
      <c r="A29" s="56"/>
      <c r="B29" s="56"/>
      <c r="C29" s="56"/>
      <c r="D29" s="56"/>
      <c r="E29" s="56"/>
      <c r="F29" s="57"/>
      <c r="G29" s="22"/>
      <c r="H29" s="58"/>
      <c r="I29" s="25"/>
      <c r="J29" s="25"/>
      <c r="K29" s="25"/>
      <c r="L29" s="25"/>
    </row>
    <row r="30" spans="1:12" ht="15" customHeight="1" x14ac:dyDescent="0.25">
      <c r="A30" s="56"/>
      <c r="B30" s="56"/>
      <c r="C30" s="56"/>
      <c r="D30" s="56"/>
      <c r="E30" s="56"/>
      <c r="F30" s="57"/>
      <c r="G30" s="55"/>
      <c r="H30" s="58"/>
      <c r="I30" s="25"/>
      <c r="J30" s="25"/>
      <c r="K30" s="25"/>
      <c r="L30" s="25"/>
    </row>
    <row r="31" spans="1:12" ht="15" customHeight="1" x14ac:dyDescent="0.25">
      <c r="A31" s="76" t="s">
        <v>89</v>
      </c>
      <c r="B31" s="77"/>
      <c r="C31" s="77"/>
      <c r="D31" s="77"/>
      <c r="E31" s="77"/>
      <c r="F31" s="77"/>
      <c r="G31" s="77"/>
      <c r="H31" s="78"/>
      <c r="I31" s="25"/>
      <c r="J31" s="25"/>
      <c r="K31" s="25"/>
      <c r="L31" s="25"/>
    </row>
    <row r="32" spans="1:12" ht="15" customHeight="1" x14ac:dyDescent="0.25">
      <c r="A32" s="11">
        <v>3</v>
      </c>
      <c r="B32" s="81" t="s">
        <v>140</v>
      </c>
      <c r="C32" s="81"/>
      <c r="D32" s="81"/>
      <c r="E32" s="81"/>
      <c r="F32" s="81"/>
      <c r="G32" s="81"/>
      <c r="H32" s="81"/>
      <c r="I32" s="25"/>
      <c r="J32" s="25"/>
      <c r="K32" s="25"/>
      <c r="L32" s="25"/>
    </row>
    <row r="33" spans="1:12" ht="15" customHeight="1" x14ac:dyDescent="0.25">
      <c r="A33" s="11">
        <v>4</v>
      </c>
      <c r="B33" s="81" t="s">
        <v>120</v>
      </c>
      <c r="C33" s="81"/>
      <c r="D33" s="81"/>
      <c r="E33" s="81"/>
      <c r="F33" s="81"/>
      <c r="G33" s="81"/>
      <c r="H33" s="81"/>
      <c r="I33" s="25"/>
      <c r="J33" s="25"/>
      <c r="K33" s="25"/>
      <c r="L33" s="25"/>
    </row>
    <row r="34" spans="1:12" ht="15" customHeight="1" x14ac:dyDescent="0.25">
      <c r="F34" s="57"/>
      <c r="G34" s="55"/>
      <c r="H34" s="58"/>
      <c r="I34" s="25"/>
      <c r="J34" s="25"/>
      <c r="K34" s="25"/>
      <c r="L34" s="25"/>
    </row>
    <row r="35" spans="1:12" ht="15" customHeight="1" x14ac:dyDescent="0.25">
      <c r="A35" s="107" t="s">
        <v>150</v>
      </c>
      <c r="B35" s="107" t="s">
        <v>151</v>
      </c>
      <c r="C35" s="107" t="s">
        <v>157</v>
      </c>
      <c r="D35" s="108" t="s">
        <v>159</v>
      </c>
      <c r="E35" s="55"/>
      <c r="F35" s="58"/>
      <c r="G35" s="25"/>
      <c r="H35" s="25"/>
      <c r="I35" s="25"/>
      <c r="J35" s="25"/>
    </row>
    <row r="36" spans="1:12" ht="15" customHeight="1" x14ac:dyDescent="0.25">
      <c r="A36" s="10" t="s">
        <v>152</v>
      </c>
      <c r="B36" s="5">
        <v>37631</v>
      </c>
      <c r="C36" s="2">
        <f ca="1">DATEDIF(B36,TODAY(),"Y")</f>
        <v>23</v>
      </c>
      <c r="D36" s="106" t="str">
        <f>LEFT(A36,FIND(" ",A36,1))</f>
        <v xml:space="preserve">Ananya </v>
      </c>
      <c r="E36" s="55"/>
      <c r="F36" s="58"/>
      <c r="G36" s="25"/>
      <c r="H36" s="25"/>
      <c r="I36" s="25"/>
      <c r="J36" s="25"/>
    </row>
    <row r="37" spans="1:12" ht="15" customHeight="1" x14ac:dyDescent="0.25">
      <c r="A37" s="10" t="s">
        <v>153</v>
      </c>
      <c r="B37" s="5">
        <v>38494</v>
      </c>
      <c r="C37" s="2">
        <f ca="1">DATEDIF(B37,TODAY(),"Y")</f>
        <v>21</v>
      </c>
      <c r="D37" s="106" t="str">
        <f t="shared" ref="D37:D40" si="4">LEFT(A37,FIND(" ",A37,1))</f>
        <v xml:space="preserve">Rohan </v>
      </c>
      <c r="E37" s="55"/>
      <c r="F37" s="58"/>
      <c r="G37" s="25"/>
      <c r="H37" s="25"/>
      <c r="I37" s="25"/>
      <c r="J37" s="25"/>
    </row>
    <row r="38" spans="1:12" ht="15" customHeight="1" x14ac:dyDescent="0.25">
      <c r="A38" s="10" t="s">
        <v>154</v>
      </c>
      <c r="B38" s="5">
        <v>38867</v>
      </c>
      <c r="C38" s="2">
        <f ca="1">DATEDIF(B38,TODAY(),"Y")</f>
        <v>20</v>
      </c>
      <c r="D38" s="106" t="str">
        <f t="shared" si="4"/>
        <v xml:space="preserve">Priya </v>
      </c>
      <c r="E38" s="55"/>
      <c r="F38" s="58"/>
      <c r="G38" s="25"/>
      <c r="H38" s="25"/>
      <c r="I38" s="25"/>
      <c r="J38" s="25"/>
    </row>
    <row r="39" spans="1:12" ht="15" customHeight="1" x14ac:dyDescent="0.25">
      <c r="A39" s="10" t="s">
        <v>155</v>
      </c>
      <c r="B39" s="5">
        <v>39801</v>
      </c>
      <c r="C39" s="2">
        <f ca="1">DATEDIF(B39,TODAY(),"Y")</f>
        <v>17</v>
      </c>
      <c r="D39" s="106" t="str">
        <f t="shared" si="4"/>
        <v xml:space="preserve">Neha </v>
      </c>
      <c r="E39" s="55"/>
      <c r="F39" s="58"/>
      <c r="G39" s="25"/>
      <c r="H39" s="25"/>
      <c r="I39" s="25"/>
      <c r="J39" s="25"/>
    </row>
    <row r="40" spans="1:12" ht="15" customHeight="1" x14ac:dyDescent="0.25">
      <c r="A40" s="10" t="s">
        <v>156</v>
      </c>
      <c r="B40" s="5">
        <v>37889</v>
      </c>
      <c r="C40" s="2">
        <f ca="1">DATEDIF(B40,TODAY(),"Y")</f>
        <v>23</v>
      </c>
      <c r="D40" s="106" t="str">
        <f t="shared" si="4"/>
        <v xml:space="preserve">Yash </v>
      </c>
      <c r="E40" s="55"/>
      <c r="F40" s="58"/>
      <c r="G40" s="25"/>
      <c r="H40" s="25"/>
      <c r="I40" s="25"/>
      <c r="J40" s="25"/>
    </row>
    <row r="41" spans="1:12" ht="15" customHeight="1" x14ac:dyDescent="0.25">
      <c r="A41" s="56"/>
      <c r="B41" s="56"/>
      <c r="C41" s="56"/>
      <c r="D41" s="56"/>
      <c r="E41" s="56"/>
      <c r="F41" s="57"/>
      <c r="G41" s="22"/>
      <c r="H41" s="58"/>
      <c r="I41" s="25"/>
      <c r="J41" s="25"/>
      <c r="K41" s="25"/>
      <c r="L41" s="25"/>
    </row>
    <row r="42" spans="1:12" ht="15" customHeight="1" x14ac:dyDescent="0.25">
      <c r="A42" s="56"/>
      <c r="B42" s="56"/>
      <c r="C42" s="56"/>
      <c r="D42" s="56"/>
      <c r="E42" s="56"/>
      <c r="F42" s="57"/>
      <c r="G42" s="22"/>
      <c r="H42" s="58"/>
      <c r="I42" s="25"/>
      <c r="J42" s="25"/>
      <c r="K42" s="25"/>
      <c r="L42" s="25"/>
    </row>
    <row r="43" spans="1:12" ht="15" customHeight="1" x14ac:dyDescent="0.25">
      <c r="A43" s="76" t="s">
        <v>89</v>
      </c>
      <c r="B43" s="77"/>
      <c r="C43" s="77"/>
      <c r="D43" s="77"/>
      <c r="E43" s="77"/>
      <c r="F43" s="77"/>
      <c r="G43" s="77"/>
      <c r="H43" s="78"/>
      <c r="I43" s="25"/>
      <c r="J43" s="25"/>
      <c r="K43" s="25"/>
      <c r="L43" s="25"/>
    </row>
    <row r="44" spans="1:12" ht="15" customHeight="1" x14ac:dyDescent="0.25">
      <c r="A44" s="11">
        <v>5</v>
      </c>
      <c r="B44" s="82" t="s">
        <v>99</v>
      </c>
      <c r="C44" s="83"/>
      <c r="D44" s="83"/>
      <c r="E44" s="83"/>
      <c r="F44" s="83"/>
      <c r="G44" s="83"/>
      <c r="H44" s="84"/>
      <c r="I44" s="25"/>
      <c r="J44" s="25"/>
      <c r="K44" s="25"/>
      <c r="L44" s="25"/>
    </row>
    <row r="45" spans="1:12" x14ac:dyDescent="0.25">
      <c r="H45" s="16"/>
    </row>
    <row r="46" spans="1:12" ht="12" customHeight="1" x14ac:dyDescent="0.25">
      <c r="A46" s="85" t="s">
        <v>104</v>
      </c>
      <c r="B46" s="85"/>
      <c r="C46" s="85"/>
      <c r="G46" s="16"/>
    </row>
    <row r="47" spans="1:12" ht="15.75" x14ac:dyDescent="0.25">
      <c r="A47" s="86">
        <f>COUNTIFS(C9:C28,"&gt;"&amp;50)</f>
        <v>19</v>
      </c>
      <c r="B47" s="86"/>
      <c r="C47" s="86"/>
      <c r="D47" s="27"/>
      <c r="E47" s="27"/>
      <c r="F47" s="27"/>
      <c r="G47" s="27"/>
    </row>
    <row r="48" spans="1:12" ht="15.75" x14ac:dyDescent="0.25">
      <c r="A48" s="59"/>
      <c r="B48" s="59"/>
      <c r="C48" s="59"/>
      <c r="D48" s="27"/>
      <c r="E48" s="27"/>
      <c r="F48" s="27"/>
      <c r="G48" s="27"/>
    </row>
    <row r="49" spans="1:8" ht="15.75" x14ac:dyDescent="0.25">
      <c r="A49" s="19"/>
      <c r="B49" s="59"/>
      <c r="C49" s="59"/>
      <c r="D49" s="59"/>
      <c r="E49" s="27"/>
      <c r="F49" s="27"/>
      <c r="G49" s="27"/>
      <c r="H49" s="27"/>
    </row>
    <row r="50" spans="1:8" ht="15.75" x14ac:dyDescent="0.25">
      <c r="A50" s="76" t="s">
        <v>89</v>
      </c>
      <c r="B50" s="77"/>
      <c r="C50" s="77"/>
      <c r="D50" s="77"/>
      <c r="E50" s="77"/>
      <c r="F50" s="77"/>
      <c r="G50" s="77"/>
      <c r="H50" s="78"/>
    </row>
    <row r="51" spans="1:8" x14ac:dyDescent="0.25">
      <c r="A51" s="11">
        <v>6</v>
      </c>
      <c r="B51" s="87" t="s">
        <v>105</v>
      </c>
      <c r="C51" s="88"/>
      <c r="D51" s="88"/>
      <c r="E51" s="88"/>
      <c r="F51" s="88"/>
      <c r="G51" s="88"/>
      <c r="H51" s="89"/>
    </row>
    <row r="52" spans="1:8" x14ac:dyDescent="0.25">
      <c r="A52" s="29"/>
      <c r="E52" s="28"/>
      <c r="F52" s="28"/>
      <c r="G52" s="28"/>
      <c r="H52" s="28"/>
    </row>
    <row r="53" spans="1:8" x14ac:dyDescent="0.25">
      <c r="A53" s="93" t="s">
        <v>106</v>
      </c>
      <c r="B53" s="93"/>
      <c r="C53" s="93"/>
      <c r="D53" s="93"/>
    </row>
    <row r="54" spans="1:8" x14ac:dyDescent="0.25">
      <c r="A54" s="94">
        <f>AVERAGEIFS($H$9:$H$28,H9:$H$28,"&gt;60")</f>
        <v>73.625000000000014</v>
      </c>
      <c r="B54" s="80"/>
      <c r="C54" s="80"/>
      <c r="D54" s="80"/>
    </row>
    <row r="55" spans="1:8" x14ac:dyDescent="0.25">
      <c r="A55" s="60"/>
      <c r="B55" s="60"/>
      <c r="C55" s="60"/>
      <c r="D55" s="60"/>
    </row>
    <row r="56" spans="1:8" x14ac:dyDescent="0.25">
      <c r="A56" s="60"/>
      <c r="B56" s="60"/>
      <c r="C56" s="60"/>
      <c r="D56" s="60"/>
    </row>
    <row r="57" spans="1:8" ht="15.75" x14ac:dyDescent="0.25">
      <c r="A57" s="76" t="s">
        <v>89</v>
      </c>
      <c r="B57" s="77"/>
      <c r="C57" s="77"/>
      <c r="D57" s="77"/>
      <c r="E57" s="77"/>
      <c r="F57" s="77"/>
      <c r="G57" s="77"/>
      <c r="H57" s="78"/>
    </row>
    <row r="58" spans="1:8" x14ac:dyDescent="0.25">
      <c r="A58" s="11">
        <v>7</v>
      </c>
      <c r="B58" s="81" t="s">
        <v>107</v>
      </c>
      <c r="C58" s="81"/>
      <c r="D58" s="81"/>
      <c r="E58" s="81"/>
      <c r="F58" s="81"/>
      <c r="G58" s="81"/>
      <c r="H58" s="81"/>
    </row>
    <row r="60" spans="1:8" x14ac:dyDescent="0.25">
      <c r="A60" s="90" t="s">
        <v>108</v>
      </c>
      <c r="B60" s="90"/>
      <c r="C60" s="91" t="s">
        <v>109</v>
      </c>
      <c r="D60" s="91"/>
    </row>
    <row r="61" spans="1:8" x14ac:dyDescent="0.25">
      <c r="A61" s="81">
        <v>1002</v>
      </c>
      <c r="B61" s="81"/>
      <c r="C61" s="81" t="str">
        <f>VLOOKUP($A$61,$A$9:$B$28,2,FALSE)</f>
        <v>Student 2</v>
      </c>
      <c r="D61" s="81"/>
    </row>
    <row r="62" spans="1:8" x14ac:dyDescent="0.25">
      <c r="A62" s="22"/>
      <c r="B62" s="22"/>
      <c r="C62" s="22"/>
      <c r="D62" s="22"/>
    </row>
    <row r="63" spans="1:8" x14ac:dyDescent="0.25">
      <c r="A63" s="22"/>
      <c r="B63" s="22"/>
      <c r="C63" s="22"/>
      <c r="D63" s="22"/>
    </row>
    <row r="64" spans="1:8" x14ac:dyDescent="0.25">
      <c r="A64" s="22"/>
      <c r="B64" s="22"/>
      <c r="C64" s="22"/>
      <c r="D64" s="22"/>
    </row>
    <row r="65" spans="1:12" ht="15.75" x14ac:dyDescent="0.25">
      <c r="A65" s="76" t="s">
        <v>89</v>
      </c>
      <c r="B65" s="77"/>
      <c r="C65" s="77"/>
      <c r="D65" s="77"/>
      <c r="E65" s="77"/>
      <c r="F65" s="77"/>
      <c r="G65" s="77"/>
      <c r="H65" s="78"/>
    </row>
    <row r="66" spans="1:12" x14ac:dyDescent="0.25">
      <c r="A66" s="43">
        <v>8</v>
      </c>
      <c r="B66" s="81" t="s">
        <v>142</v>
      </c>
      <c r="C66" s="81"/>
      <c r="D66" s="81"/>
      <c r="E66" s="81"/>
      <c r="F66" s="81"/>
      <c r="G66" s="81"/>
      <c r="H66" s="81"/>
    </row>
    <row r="67" spans="1:12" x14ac:dyDescent="0.25">
      <c r="D67" s="92"/>
      <c r="E67" s="92"/>
    </row>
    <row r="68" spans="1:12" x14ac:dyDescent="0.25">
      <c r="A68" s="79" t="s">
        <v>143</v>
      </c>
      <c r="B68" s="79"/>
    </row>
    <row r="69" spans="1:12" x14ac:dyDescent="0.25">
      <c r="A69" s="80">
        <v>80</v>
      </c>
      <c r="B69" s="80"/>
    </row>
    <row r="71" spans="1:12" ht="15" customHeight="1" x14ac:dyDescent="0.25">
      <c r="A71" s="35" t="s">
        <v>0</v>
      </c>
      <c r="B71" s="35" t="s">
        <v>1</v>
      </c>
      <c r="C71" s="35" t="s">
        <v>2</v>
      </c>
      <c r="D71" s="35" t="s">
        <v>3</v>
      </c>
      <c r="E71" s="35" t="s">
        <v>4</v>
      </c>
      <c r="F71" s="37" t="s">
        <v>5</v>
      </c>
      <c r="G71" s="64" t="s">
        <v>91</v>
      </c>
      <c r="H71" s="65" t="s">
        <v>92</v>
      </c>
      <c r="I71" s="64" t="s">
        <v>93</v>
      </c>
      <c r="J71" s="64" t="s">
        <v>97</v>
      </c>
    </row>
    <row r="72" spans="1:12" x14ac:dyDescent="0.25">
      <c r="A72" s="61" cm="1">
        <f t="array" ref="A72:J73">_xlfn._xlws.FILTER(A9:J28,H9:H28&gt;A69,"Not Found")</f>
        <v>1012</v>
      </c>
      <c r="B72" s="61" t="str">
        <v>Student 12</v>
      </c>
      <c r="C72" s="61">
        <v>85</v>
      </c>
      <c r="D72" s="61">
        <v>89</v>
      </c>
      <c r="E72" s="61">
        <v>79</v>
      </c>
      <c r="F72" s="62">
        <v>45081</v>
      </c>
      <c r="G72" s="61">
        <v>253</v>
      </c>
      <c r="H72" s="63">
        <v>84.333333333333343</v>
      </c>
      <c r="I72" s="61" t="str">
        <v>A</v>
      </c>
      <c r="J72" s="61" t="str">
        <v>Yes</v>
      </c>
      <c r="K72" s="61"/>
    </row>
    <row r="73" spans="1:12" x14ac:dyDescent="0.25">
      <c r="A73" s="61">
        <v>1013</v>
      </c>
      <c r="B73" s="61" t="str">
        <v>Student 13</v>
      </c>
      <c r="C73" s="61">
        <v>98</v>
      </c>
      <c r="D73" s="61">
        <v>90</v>
      </c>
      <c r="E73" s="61">
        <v>97</v>
      </c>
      <c r="F73" s="62">
        <v>45261</v>
      </c>
      <c r="G73" s="61">
        <v>285</v>
      </c>
      <c r="H73" s="63">
        <v>95</v>
      </c>
      <c r="I73" s="61" t="str">
        <v>A+</v>
      </c>
      <c r="J73" s="61" t="str">
        <v>Yes</v>
      </c>
      <c r="K73" s="61"/>
    </row>
    <row r="74" spans="1:12" x14ac:dyDescent="0.25">
      <c r="A74" s="61"/>
      <c r="B74" s="61"/>
      <c r="C74" s="61"/>
      <c r="D74" s="61"/>
      <c r="E74" s="61"/>
      <c r="F74" s="62"/>
      <c r="G74" s="61"/>
      <c r="H74" s="63"/>
      <c r="I74" s="63"/>
      <c r="J74" s="61"/>
      <c r="K74" s="61"/>
      <c r="L74" s="61"/>
    </row>
    <row r="75" spans="1:12" x14ac:dyDescent="0.25">
      <c r="A75" s="61"/>
      <c r="B75" s="61"/>
      <c r="C75" s="61"/>
      <c r="D75" s="61"/>
      <c r="E75" s="61"/>
      <c r="F75" s="62"/>
      <c r="G75" s="61"/>
      <c r="H75" s="63"/>
      <c r="I75" s="63"/>
      <c r="J75" s="61"/>
      <c r="K75" s="61"/>
      <c r="L75" s="61"/>
    </row>
    <row r="76" spans="1:12" x14ac:dyDescent="0.25">
      <c r="A76" s="61"/>
      <c r="B76" s="61"/>
      <c r="C76" s="61"/>
      <c r="D76" s="61"/>
      <c r="E76" s="61"/>
      <c r="F76" s="62"/>
      <c r="G76" s="61"/>
      <c r="H76" s="63"/>
      <c r="I76" s="63"/>
      <c r="J76" s="61"/>
      <c r="K76" s="61"/>
      <c r="L76" s="61"/>
    </row>
    <row r="77" spans="1:12" x14ac:dyDescent="0.25">
      <c r="A77" s="61"/>
      <c r="B77" s="61"/>
      <c r="C77" s="61"/>
      <c r="D77" s="61"/>
      <c r="E77" s="61"/>
      <c r="F77" s="62"/>
      <c r="G77" s="61"/>
      <c r="H77" s="63"/>
      <c r="I77" s="63"/>
      <c r="J77" s="61"/>
      <c r="K77" s="61"/>
      <c r="L77" s="61"/>
    </row>
    <row r="78" spans="1:12" x14ac:dyDescent="0.25">
      <c r="A78" s="61"/>
      <c r="B78" s="61"/>
      <c r="C78" s="61"/>
      <c r="D78" s="61"/>
      <c r="E78" s="61"/>
      <c r="F78" s="62"/>
      <c r="G78" s="61"/>
      <c r="H78" s="63"/>
      <c r="I78" s="61"/>
      <c r="J78" s="61"/>
      <c r="K78" s="61"/>
      <c r="L78" s="61"/>
    </row>
    <row r="79" spans="1:12" x14ac:dyDescent="0.25">
      <c r="A79" s="61"/>
      <c r="B79" s="61"/>
      <c r="C79" s="61"/>
      <c r="D79" s="61"/>
      <c r="E79" s="61"/>
      <c r="F79" s="62"/>
      <c r="G79" s="61"/>
      <c r="H79" s="63"/>
      <c r="I79" s="61"/>
      <c r="J79" s="61"/>
      <c r="K79" s="61"/>
      <c r="L79" s="61"/>
    </row>
    <row r="80" spans="1:12" x14ac:dyDescent="0.25">
      <c r="A80" s="61"/>
      <c r="B80" s="61"/>
      <c r="C80" s="61"/>
      <c r="D80" s="61"/>
      <c r="E80" s="61"/>
      <c r="F80" s="62"/>
      <c r="G80" s="61"/>
      <c r="H80" s="63"/>
      <c r="I80" s="61"/>
      <c r="J80" s="61"/>
      <c r="K80" s="61"/>
      <c r="L80" s="61"/>
    </row>
    <row r="81" spans="1:12" x14ac:dyDescent="0.25">
      <c r="A81" s="61"/>
      <c r="B81" s="61"/>
      <c r="C81" s="61"/>
      <c r="D81" s="61"/>
      <c r="E81" s="61"/>
      <c r="F81" s="61"/>
      <c r="G81" s="61"/>
      <c r="H81" s="63"/>
      <c r="I81" s="61"/>
      <c r="J81" s="61"/>
      <c r="K81" s="61"/>
      <c r="L81" s="61"/>
    </row>
    <row r="82" spans="1:12" x14ac:dyDescent="0.25">
      <c r="A82" s="61"/>
      <c r="B82" s="61"/>
      <c r="C82" s="61"/>
      <c r="D82" s="61"/>
      <c r="E82" s="61"/>
      <c r="F82" s="61"/>
      <c r="G82" s="61"/>
      <c r="H82" s="63"/>
      <c r="I82" s="61"/>
      <c r="J82" s="61"/>
      <c r="K82" s="61"/>
      <c r="L82" s="61"/>
    </row>
    <row r="83" spans="1:12" x14ac:dyDescent="0.25">
      <c r="H83" s="14"/>
    </row>
    <row r="84" spans="1:12" x14ac:dyDescent="0.25">
      <c r="H84" s="14"/>
    </row>
  </sheetData>
  <mergeCells count="25">
    <mergeCell ref="A53:D53"/>
    <mergeCell ref="A54:D54"/>
    <mergeCell ref="A31:H31"/>
    <mergeCell ref="B33:H33"/>
    <mergeCell ref="C60:D60"/>
    <mergeCell ref="D67:E67"/>
    <mergeCell ref="C61:D61"/>
    <mergeCell ref="A57:H57"/>
    <mergeCell ref="B66:H66"/>
    <mergeCell ref="A65:H65"/>
    <mergeCell ref="A68:B68"/>
    <mergeCell ref="A69:B69"/>
    <mergeCell ref="B2:H2"/>
    <mergeCell ref="A1:H1"/>
    <mergeCell ref="B3:H3"/>
    <mergeCell ref="A43:H43"/>
    <mergeCell ref="A50:H50"/>
    <mergeCell ref="B44:H44"/>
    <mergeCell ref="A46:C46"/>
    <mergeCell ref="A47:C47"/>
    <mergeCell ref="B51:H51"/>
    <mergeCell ref="B32:H32"/>
    <mergeCell ref="B58:H58"/>
    <mergeCell ref="A60:B60"/>
    <mergeCell ref="A61:B61"/>
  </mergeCells>
  <dataValidations count="2">
    <dataValidation type="list" allowBlank="1" showInputMessage="1" showErrorMessage="1" sqref="A61 B61:B64" xr:uid="{4238A7DD-2C30-417F-B37A-76500483AA09}">
      <formula1>$A$9:$A$28</formula1>
    </dataValidation>
    <dataValidation type="list" allowBlank="1" showInputMessage="1" showErrorMessage="1" sqref="A69" xr:uid="{7C3721CC-22B0-4D1C-BC4D-5F81E8B54B41}">
      <formula1>"95,90,85 ,80,75,70"</formula1>
    </dataValidation>
  </dataValidations>
  <pageMargins left="0.7" right="0.7" top="0.75" bottom="0.75" header="0.3" footer="0.3"/>
  <pageSetup orientation="portrait" r:id="rId1"/>
  <ignoredErrors>
    <ignoredError sqref="G9 G10:G26 G27:G28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EAAFF-3C96-4492-803D-F9BD78F7A897}">
  <dimension ref="A1:K132"/>
  <sheetViews>
    <sheetView workbookViewId="0">
      <selection activeCell="F117" sqref="F117"/>
    </sheetView>
  </sheetViews>
  <sheetFormatPr defaultRowHeight="15" x14ac:dyDescent="0.25"/>
  <cols>
    <col min="1" max="1" width="15.42578125" customWidth="1"/>
    <col min="2" max="2" width="18" customWidth="1"/>
    <col min="3" max="3" width="17.42578125" customWidth="1"/>
    <col min="4" max="4" width="13.42578125" customWidth="1"/>
    <col min="5" max="5" width="14.140625" customWidth="1"/>
    <col min="6" max="6" width="15.5703125" bestFit="1" customWidth="1"/>
    <col min="7" max="7" width="12.85546875" customWidth="1"/>
    <col min="8" max="8" width="17.42578125" customWidth="1"/>
    <col min="9" max="9" width="12.5703125" customWidth="1"/>
    <col min="11" max="11" width="12.85546875" customWidth="1"/>
    <col min="12" max="12" width="13.7109375" customWidth="1"/>
  </cols>
  <sheetData>
    <row r="1" spans="1:9" x14ac:dyDescent="0.25">
      <c r="A1" s="95" t="s">
        <v>89</v>
      </c>
      <c r="B1" s="96"/>
      <c r="C1" s="96"/>
      <c r="D1" s="96"/>
      <c r="E1" s="96"/>
      <c r="F1" s="96"/>
      <c r="G1" s="97"/>
    </row>
    <row r="2" spans="1:9" x14ac:dyDescent="0.25">
      <c r="A2" s="11">
        <v>1</v>
      </c>
      <c r="B2" s="81" t="s">
        <v>94</v>
      </c>
      <c r="C2" s="81"/>
      <c r="D2" s="81"/>
      <c r="E2" s="81"/>
      <c r="F2" s="81"/>
      <c r="G2" s="81"/>
    </row>
    <row r="3" spans="1:9" x14ac:dyDescent="0.25">
      <c r="A3" s="11">
        <v>2</v>
      </c>
      <c r="B3" s="81" t="s">
        <v>98</v>
      </c>
      <c r="C3" s="81"/>
      <c r="D3" s="81"/>
      <c r="E3" s="81"/>
      <c r="F3" s="81"/>
      <c r="G3" s="81"/>
    </row>
    <row r="6" spans="1:9" ht="15" customHeight="1" x14ac:dyDescent="0.25">
      <c r="A6" s="1" t="s">
        <v>26</v>
      </c>
      <c r="B6" s="1" t="s">
        <v>27</v>
      </c>
      <c r="C6" s="1" t="s">
        <v>28</v>
      </c>
      <c r="D6" s="1" t="s">
        <v>29</v>
      </c>
      <c r="E6" s="6" t="s">
        <v>30</v>
      </c>
      <c r="F6" s="4" t="s">
        <v>31</v>
      </c>
      <c r="G6" s="34" t="s">
        <v>117</v>
      </c>
      <c r="H6" s="12" t="s">
        <v>95</v>
      </c>
      <c r="I6" s="12" t="s">
        <v>97</v>
      </c>
    </row>
    <row r="7" spans="1:9" ht="15" customHeight="1" x14ac:dyDescent="0.25">
      <c r="A7" s="3">
        <v>2001</v>
      </c>
      <c r="B7" s="3" t="s">
        <v>32</v>
      </c>
      <c r="C7" s="3" t="s">
        <v>33</v>
      </c>
      <c r="D7" s="3" t="s">
        <v>34</v>
      </c>
      <c r="E7" s="7">
        <v>7048</v>
      </c>
      <c r="F7" s="9">
        <v>44927</v>
      </c>
      <c r="G7" s="9" t="str">
        <f>TEXT(F7,"m")</f>
        <v>1</v>
      </c>
      <c r="H7" s="21">
        <f>IF(E7&gt;45000,50%,IF(E7&gt;35000,40%,IF(E7&gt;25000,30%,IF(E7&gt;15000,10%,IF(E7&gt;5000,5%,0)))))</f>
        <v>0.05</v>
      </c>
      <c r="I7" s="17" t="str">
        <f t="shared" ref="I7:I26" si="0">IF(OR(H7=30%,E7&gt;35000),"Eligible","Not Eligible")</f>
        <v>Not Eligible</v>
      </c>
    </row>
    <row r="8" spans="1:9" ht="15" customHeight="1" x14ac:dyDescent="0.25">
      <c r="A8" s="3">
        <v>2002</v>
      </c>
      <c r="B8" s="3" t="s">
        <v>35</v>
      </c>
      <c r="C8" s="3" t="s">
        <v>36</v>
      </c>
      <c r="D8" s="3" t="s">
        <v>37</v>
      </c>
      <c r="E8" s="7">
        <v>17428</v>
      </c>
      <c r="F8" s="9">
        <v>44942</v>
      </c>
      <c r="G8" s="9" t="str">
        <f t="shared" ref="G8:G26" si="1">TEXT(F8,"m")</f>
        <v>1</v>
      </c>
      <c r="H8" s="21">
        <f t="shared" ref="H8:H26" si="2">IF(E8&gt;45000,50%,IF(E8&gt;35000,40%,IF(E8&gt;25000,30%,IF(E8&gt;15000,10%,IF(E8&gt;5000,5%,0)))))</f>
        <v>0.1</v>
      </c>
      <c r="I8" s="17" t="str">
        <f t="shared" si="0"/>
        <v>Not Eligible</v>
      </c>
    </row>
    <row r="9" spans="1:9" ht="15" customHeight="1" x14ac:dyDescent="0.25">
      <c r="A9" s="3">
        <v>2003</v>
      </c>
      <c r="B9" s="3" t="s">
        <v>38</v>
      </c>
      <c r="C9" s="3" t="s">
        <v>33</v>
      </c>
      <c r="D9" s="3" t="s">
        <v>39</v>
      </c>
      <c r="E9" s="7">
        <v>23672</v>
      </c>
      <c r="F9" s="9">
        <v>44957</v>
      </c>
      <c r="G9" s="9" t="str">
        <f t="shared" si="1"/>
        <v>1</v>
      </c>
      <c r="H9" s="21">
        <f t="shared" si="2"/>
        <v>0.1</v>
      </c>
      <c r="I9" s="17" t="str">
        <f t="shared" si="0"/>
        <v>Not Eligible</v>
      </c>
    </row>
    <row r="10" spans="1:9" ht="15" customHeight="1" x14ac:dyDescent="0.25">
      <c r="A10" s="3">
        <v>2004</v>
      </c>
      <c r="B10" s="3" t="s">
        <v>35</v>
      </c>
      <c r="C10" s="3" t="s">
        <v>40</v>
      </c>
      <c r="D10" s="3" t="s">
        <v>41</v>
      </c>
      <c r="E10" s="7">
        <v>5264</v>
      </c>
      <c r="F10" s="9">
        <v>44972</v>
      </c>
      <c r="G10" s="9" t="str">
        <f t="shared" si="1"/>
        <v>2</v>
      </c>
      <c r="H10" s="21">
        <f t="shared" si="2"/>
        <v>0.05</v>
      </c>
      <c r="I10" s="17" t="str">
        <f t="shared" si="0"/>
        <v>Not Eligible</v>
      </c>
    </row>
    <row r="11" spans="1:9" ht="15" customHeight="1" x14ac:dyDescent="0.25">
      <c r="A11" s="3">
        <v>2005</v>
      </c>
      <c r="B11" s="3" t="s">
        <v>32</v>
      </c>
      <c r="C11" s="3" t="s">
        <v>42</v>
      </c>
      <c r="D11" s="3" t="s">
        <v>43</v>
      </c>
      <c r="E11" s="7">
        <v>43388</v>
      </c>
      <c r="F11" s="9">
        <v>44987</v>
      </c>
      <c r="G11" s="9" t="str">
        <f t="shared" si="1"/>
        <v>3</v>
      </c>
      <c r="H11" s="21">
        <f t="shared" si="2"/>
        <v>0.4</v>
      </c>
      <c r="I11" s="17" t="str">
        <f t="shared" si="0"/>
        <v>Eligible</v>
      </c>
    </row>
    <row r="12" spans="1:9" ht="15" customHeight="1" x14ac:dyDescent="0.25">
      <c r="A12" s="3">
        <v>2006</v>
      </c>
      <c r="B12" s="3" t="s">
        <v>38</v>
      </c>
      <c r="C12" s="3" t="s">
        <v>42</v>
      </c>
      <c r="D12" s="3" t="s">
        <v>44</v>
      </c>
      <c r="E12" s="7">
        <v>19757</v>
      </c>
      <c r="F12" s="9">
        <v>45002</v>
      </c>
      <c r="G12" s="9" t="str">
        <f t="shared" si="1"/>
        <v>3</v>
      </c>
      <c r="H12" s="21">
        <f t="shared" si="2"/>
        <v>0.1</v>
      </c>
      <c r="I12" s="17" t="str">
        <f t="shared" si="0"/>
        <v>Not Eligible</v>
      </c>
    </row>
    <row r="13" spans="1:9" ht="15" customHeight="1" x14ac:dyDescent="0.25">
      <c r="A13" s="3">
        <v>2007</v>
      </c>
      <c r="B13" s="3" t="s">
        <v>38</v>
      </c>
      <c r="C13" s="3" t="s">
        <v>40</v>
      </c>
      <c r="D13" s="3" t="s">
        <v>45</v>
      </c>
      <c r="E13" s="7">
        <v>32058</v>
      </c>
      <c r="F13" s="9">
        <v>45017</v>
      </c>
      <c r="G13" s="9" t="str">
        <f t="shared" si="1"/>
        <v>4</v>
      </c>
      <c r="H13" s="21">
        <f t="shared" si="2"/>
        <v>0.3</v>
      </c>
      <c r="I13" s="17" t="str">
        <f t="shared" si="0"/>
        <v>Eligible</v>
      </c>
    </row>
    <row r="14" spans="1:9" ht="15" customHeight="1" x14ac:dyDescent="0.25">
      <c r="A14" s="3">
        <v>2008</v>
      </c>
      <c r="B14" s="3" t="s">
        <v>32</v>
      </c>
      <c r="C14" s="3" t="s">
        <v>40</v>
      </c>
      <c r="D14" s="3" t="s">
        <v>46</v>
      </c>
      <c r="E14" s="7">
        <v>46429</v>
      </c>
      <c r="F14" s="9">
        <v>45032</v>
      </c>
      <c r="G14" s="9" t="str">
        <f t="shared" si="1"/>
        <v>4</v>
      </c>
      <c r="H14" s="21">
        <f t="shared" si="2"/>
        <v>0.5</v>
      </c>
      <c r="I14" s="17" t="str">
        <f t="shared" si="0"/>
        <v>Eligible</v>
      </c>
    </row>
    <row r="15" spans="1:9" ht="15" customHeight="1" x14ac:dyDescent="0.25">
      <c r="A15" s="3">
        <v>2009</v>
      </c>
      <c r="B15" s="3" t="s">
        <v>35</v>
      </c>
      <c r="C15" s="3" t="s">
        <v>40</v>
      </c>
      <c r="D15" s="3" t="s">
        <v>47</v>
      </c>
      <c r="E15" s="7">
        <v>19746</v>
      </c>
      <c r="F15" s="9">
        <v>45047</v>
      </c>
      <c r="G15" s="9" t="str">
        <f t="shared" si="1"/>
        <v>5</v>
      </c>
      <c r="H15" s="21">
        <f t="shared" si="2"/>
        <v>0.1</v>
      </c>
      <c r="I15" s="17" t="str">
        <f t="shared" si="0"/>
        <v>Not Eligible</v>
      </c>
    </row>
    <row r="16" spans="1:9" ht="15" customHeight="1" x14ac:dyDescent="0.25">
      <c r="A16" s="3">
        <v>2010</v>
      </c>
      <c r="B16" s="3" t="s">
        <v>32</v>
      </c>
      <c r="C16" s="3" t="s">
        <v>33</v>
      </c>
      <c r="D16" s="3" t="s">
        <v>48</v>
      </c>
      <c r="E16" s="7">
        <v>35185</v>
      </c>
      <c r="F16" s="9">
        <v>45062</v>
      </c>
      <c r="G16" s="9" t="str">
        <f t="shared" si="1"/>
        <v>5</v>
      </c>
      <c r="H16" s="21">
        <f t="shared" si="2"/>
        <v>0.4</v>
      </c>
      <c r="I16" s="17" t="str">
        <f t="shared" si="0"/>
        <v>Eligible</v>
      </c>
    </row>
    <row r="17" spans="1:9" ht="15" customHeight="1" x14ac:dyDescent="0.25">
      <c r="A17" s="3">
        <v>2011</v>
      </c>
      <c r="B17" s="3" t="s">
        <v>32</v>
      </c>
      <c r="C17" s="3" t="s">
        <v>40</v>
      </c>
      <c r="D17" s="3" t="s">
        <v>49</v>
      </c>
      <c r="E17" s="7">
        <v>33920</v>
      </c>
      <c r="F17" s="9">
        <v>45077</v>
      </c>
      <c r="G17" s="9" t="str">
        <f t="shared" si="1"/>
        <v>5</v>
      </c>
      <c r="H17" s="21">
        <f t="shared" si="2"/>
        <v>0.3</v>
      </c>
      <c r="I17" s="17" t="str">
        <f t="shared" si="0"/>
        <v>Eligible</v>
      </c>
    </row>
    <row r="18" spans="1:9" ht="15" customHeight="1" x14ac:dyDescent="0.25">
      <c r="A18" s="3">
        <v>2012</v>
      </c>
      <c r="B18" s="3" t="s">
        <v>50</v>
      </c>
      <c r="C18" s="3" t="s">
        <v>42</v>
      </c>
      <c r="D18" s="3" t="s">
        <v>51</v>
      </c>
      <c r="E18" s="7">
        <v>35611</v>
      </c>
      <c r="F18" s="9">
        <v>45092</v>
      </c>
      <c r="G18" s="9" t="str">
        <f t="shared" si="1"/>
        <v>6</v>
      </c>
      <c r="H18" s="21">
        <f t="shared" si="2"/>
        <v>0.4</v>
      </c>
      <c r="I18" s="17" t="str">
        <f t="shared" si="0"/>
        <v>Eligible</v>
      </c>
    </row>
    <row r="19" spans="1:9" ht="15" customHeight="1" x14ac:dyDescent="0.25">
      <c r="A19" s="3">
        <v>2013</v>
      </c>
      <c r="B19" s="3" t="s">
        <v>52</v>
      </c>
      <c r="C19" s="3" t="s">
        <v>40</v>
      </c>
      <c r="D19" s="3" t="s">
        <v>53</v>
      </c>
      <c r="E19" s="7">
        <v>15560</v>
      </c>
      <c r="F19" s="9">
        <v>45107</v>
      </c>
      <c r="G19" s="9" t="str">
        <f t="shared" si="1"/>
        <v>6</v>
      </c>
      <c r="H19" s="21">
        <f t="shared" si="2"/>
        <v>0.1</v>
      </c>
      <c r="I19" s="17" t="str">
        <f t="shared" si="0"/>
        <v>Not Eligible</v>
      </c>
    </row>
    <row r="20" spans="1:9" ht="15" customHeight="1" x14ac:dyDescent="0.25">
      <c r="A20" s="3">
        <v>2014</v>
      </c>
      <c r="B20" s="3" t="s">
        <v>52</v>
      </c>
      <c r="C20" s="3" t="s">
        <v>33</v>
      </c>
      <c r="D20" s="3" t="s">
        <v>54</v>
      </c>
      <c r="E20" s="7">
        <v>7283</v>
      </c>
      <c r="F20" s="9">
        <v>45122</v>
      </c>
      <c r="G20" s="9" t="str">
        <f t="shared" si="1"/>
        <v>7</v>
      </c>
      <c r="H20" s="21">
        <f t="shared" si="2"/>
        <v>0.05</v>
      </c>
      <c r="I20" s="17" t="str">
        <f t="shared" si="0"/>
        <v>Not Eligible</v>
      </c>
    </row>
    <row r="21" spans="1:9" ht="15" customHeight="1" x14ac:dyDescent="0.25">
      <c r="A21" s="3">
        <v>2015</v>
      </c>
      <c r="B21" s="3" t="s">
        <v>52</v>
      </c>
      <c r="C21" s="3" t="s">
        <v>40</v>
      </c>
      <c r="D21" s="3" t="s">
        <v>55</v>
      </c>
      <c r="E21" s="7">
        <v>15678</v>
      </c>
      <c r="F21" s="9">
        <v>45137</v>
      </c>
      <c r="G21" s="9" t="str">
        <f t="shared" si="1"/>
        <v>7</v>
      </c>
      <c r="H21" s="21">
        <f t="shared" si="2"/>
        <v>0.1</v>
      </c>
      <c r="I21" s="17" t="str">
        <f t="shared" si="0"/>
        <v>Not Eligible</v>
      </c>
    </row>
    <row r="22" spans="1:9" ht="15" customHeight="1" x14ac:dyDescent="0.25">
      <c r="A22" s="3">
        <v>2016</v>
      </c>
      <c r="B22" s="3" t="s">
        <v>38</v>
      </c>
      <c r="C22" s="3" t="s">
        <v>40</v>
      </c>
      <c r="D22" s="3" t="s">
        <v>56</v>
      </c>
      <c r="E22" s="7">
        <v>5277</v>
      </c>
      <c r="F22" s="9">
        <v>45152</v>
      </c>
      <c r="G22" s="9" t="str">
        <f t="shared" si="1"/>
        <v>8</v>
      </c>
      <c r="H22" s="21">
        <f t="shared" si="2"/>
        <v>0.05</v>
      </c>
      <c r="I22" s="17" t="str">
        <f t="shared" si="0"/>
        <v>Not Eligible</v>
      </c>
    </row>
    <row r="23" spans="1:9" ht="15" customHeight="1" x14ac:dyDescent="0.25">
      <c r="A23" s="3">
        <v>2017</v>
      </c>
      <c r="B23" s="3" t="s">
        <v>50</v>
      </c>
      <c r="C23" s="3" t="s">
        <v>42</v>
      </c>
      <c r="D23" s="3" t="s">
        <v>57</v>
      </c>
      <c r="E23" s="7">
        <v>41871</v>
      </c>
      <c r="F23" s="9">
        <v>45167</v>
      </c>
      <c r="G23" s="9" t="str">
        <f t="shared" si="1"/>
        <v>8</v>
      </c>
      <c r="H23" s="21">
        <f t="shared" si="2"/>
        <v>0.4</v>
      </c>
      <c r="I23" s="17" t="str">
        <f t="shared" si="0"/>
        <v>Eligible</v>
      </c>
    </row>
    <row r="24" spans="1:9" ht="15" customHeight="1" x14ac:dyDescent="0.25">
      <c r="A24" s="3">
        <v>2018</v>
      </c>
      <c r="B24" s="3" t="s">
        <v>50</v>
      </c>
      <c r="C24" s="3" t="s">
        <v>36</v>
      </c>
      <c r="D24" s="3" t="s">
        <v>58</v>
      </c>
      <c r="E24" s="7">
        <v>38161</v>
      </c>
      <c r="F24" s="9">
        <v>45182</v>
      </c>
      <c r="G24" s="9" t="str">
        <f t="shared" si="1"/>
        <v>9</v>
      </c>
      <c r="H24" s="21">
        <f t="shared" si="2"/>
        <v>0.4</v>
      </c>
      <c r="I24" s="17" t="str">
        <f t="shared" si="0"/>
        <v>Eligible</v>
      </c>
    </row>
    <row r="25" spans="1:9" ht="15" customHeight="1" x14ac:dyDescent="0.25">
      <c r="A25" s="50">
        <v>2019</v>
      </c>
      <c r="B25" s="50" t="s">
        <v>38</v>
      </c>
      <c r="C25" s="50" t="s">
        <v>36</v>
      </c>
      <c r="D25" s="50" t="s">
        <v>59</v>
      </c>
      <c r="E25" s="51">
        <v>30436</v>
      </c>
      <c r="F25" s="52">
        <v>45197</v>
      </c>
      <c r="G25" s="52" t="str">
        <f t="shared" si="1"/>
        <v>9</v>
      </c>
      <c r="H25" s="53">
        <f t="shared" si="2"/>
        <v>0.3</v>
      </c>
      <c r="I25" s="54" t="str">
        <f t="shared" si="0"/>
        <v>Eligible</v>
      </c>
    </row>
    <row r="26" spans="1:9" ht="15" customHeight="1" x14ac:dyDescent="0.25">
      <c r="A26" s="2">
        <v>2020</v>
      </c>
      <c r="B26" s="2" t="s">
        <v>35</v>
      </c>
      <c r="C26" s="2" t="s">
        <v>36</v>
      </c>
      <c r="D26" s="2" t="s">
        <v>60</v>
      </c>
      <c r="E26" s="8">
        <v>33953</v>
      </c>
      <c r="F26" s="5">
        <v>45212</v>
      </c>
      <c r="G26" s="9" t="str">
        <f t="shared" si="1"/>
        <v>10</v>
      </c>
      <c r="H26" s="21">
        <f t="shared" si="2"/>
        <v>0.3</v>
      </c>
      <c r="I26" s="17" t="str">
        <f t="shared" si="0"/>
        <v>Eligible</v>
      </c>
    </row>
    <row r="27" spans="1:9" ht="15" customHeight="1" x14ac:dyDescent="0.25">
      <c r="A27" s="56"/>
      <c r="B27" s="56"/>
      <c r="C27" s="56"/>
      <c r="D27" s="56"/>
      <c r="E27" s="66"/>
      <c r="F27" s="57"/>
      <c r="G27" s="48"/>
      <c r="H27" s="49"/>
      <c r="I27" s="25"/>
    </row>
    <row r="28" spans="1:9" ht="15" customHeight="1" x14ac:dyDescent="0.25">
      <c r="A28" s="56"/>
      <c r="B28" s="56"/>
      <c r="C28" s="56"/>
      <c r="D28" s="56"/>
      <c r="E28" s="66"/>
      <c r="F28" s="57"/>
      <c r="G28" s="48"/>
      <c r="H28" s="49"/>
      <c r="I28" s="25"/>
    </row>
    <row r="29" spans="1:9" ht="15" customHeight="1" x14ac:dyDescent="0.25">
      <c r="A29" s="56"/>
      <c r="B29" s="56"/>
      <c r="C29" s="56"/>
      <c r="D29" s="56"/>
      <c r="E29" s="66"/>
      <c r="F29" s="57"/>
      <c r="G29" s="48"/>
      <c r="H29" s="49"/>
      <c r="I29" s="25"/>
    </row>
    <row r="30" spans="1:9" ht="15" customHeight="1" x14ac:dyDescent="0.25">
      <c r="A30" s="95" t="s">
        <v>89</v>
      </c>
      <c r="B30" s="96"/>
      <c r="C30" s="96"/>
      <c r="D30" s="96"/>
      <c r="E30" s="96"/>
      <c r="F30" s="96"/>
      <c r="G30" s="97"/>
      <c r="H30" s="49"/>
      <c r="I30" s="25"/>
    </row>
    <row r="31" spans="1:9" ht="15" customHeight="1" x14ac:dyDescent="0.25">
      <c r="A31" s="18">
        <v>3</v>
      </c>
      <c r="B31" s="81" t="s">
        <v>100</v>
      </c>
      <c r="C31" s="81"/>
      <c r="D31" s="81"/>
      <c r="E31" s="81"/>
      <c r="F31" s="81"/>
      <c r="G31" s="81"/>
      <c r="H31" s="49"/>
      <c r="I31" s="25"/>
    </row>
    <row r="33" spans="1:7" ht="15" customHeight="1" x14ac:dyDescent="0.25">
      <c r="A33" s="26" t="s">
        <v>101</v>
      </c>
      <c r="B33" s="26" t="s">
        <v>102</v>
      </c>
      <c r="C33" s="26" t="s">
        <v>103</v>
      </c>
    </row>
    <row r="34" spans="1:7" x14ac:dyDescent="0.25">
      <c r="A34" s="10" t="s">
        <v>40</v>
      </c>
      <c r="B34" s="10" t="s">
        <v>35</v>
      </c>
      <c r="C34" s="105">
        <f>SUMIFS($E$7:$E$25,$C$7:$C$25,$A$34,B$7:B$25,$B$34)</f>
        <v>25010</v>
      </c>
    </row>
    <row r="35" spans="1:7" x14ac:dyDescent="0.25">
      <c r="A35" s="20"/>
      <c r="B35" s="20"/>
      <c r="C35" s="20"/>
    </row>
    <row r="36" spans="1:7" x14ac:dyDescent="0.25">
      <c r="A36" s="20"/>
      <c r="B36" s="20"/>
      <c r="C36" s="20"/>
    </row>
    <row r="37" spans="1:7" x14ac:dyDescent="0.25">
      <c r="A37" s="20"/>
      <c r="B37" s="20"/>
      <c r="C37" s="20"/>
    </row>
    <row r="38" spans="1:7" x14ac:dyDescent="0.25">
      <c r="A38" s="20"/>
      <c r="B38" s="20"/>
      <c r="C38" s="20"/>
    </row>
    <row r="39" spans="1:7" x14ac:dyDescent="0.25">
      <c r="A39" s="95" t="s">
        <v>89</v>
      </c>
      <c r="B39" s="96"/>
      <c r="C39" s="96"/>
      <c r="D39" s="96"/>
      <c r="E39" s="96"/>
      <c r="F39" s="96"/>
      <c r="G39" s="97"/>
    </row>
    <row r="40" spans="1:7" x14ac:dyDescent="0.25">
      <c r="A40" s="31">
        <v>4</v>
      </c>
      <c r="B40" s="81" t="s">
        <v>110</v>
      </c>
      <c r="C40" s="81"/>
      <c r="D40" s="81"/>
      <c r="E40" s="81"/>
      <c r="F40" s="81"/>
      <c r="G40" s="81"/>
    </row>
    <row r="42" spans="1:7" x14ac:dyDescent="0.25">
      <c r="A42" s="110" t="s">
        <v>161</v>
      </c>
      <c r="B42" s="44" t="s">
        <v>162</v>
      </c>
      <c r="C42" s="44" t="s">
        <v>163</v>
      </c>
    </row>
    <row r="43" spans="1:7" x14ac:dyDescent="0.25">
      <c r="A43" s="17" t="s">
        <v>52</v>
      </c>
      <c r="B43" s="17" t="s">
        <v>164</v>
      </c>
      <c r="C43" s="45">
        <v>25000</v>
      </c>
    </row>
    <row r="44" spans="1:7" x14ac:dyDescent="0.25">
      <c r="A44" s="3" t="s">
        <v>32</v>
      </c>
      <c r="B44" s="17" t="s">
        <v>165</v>
      </c>
      <c r="C44" s="45">
        <v>36000</v>
      </c>
    </row>
    <row r="45" spans="1:7" x14ac:dyDescent="0.25">
      <c r="A45" s="3" t="s">
        <v>50</v>
      </c>
      <c r="B45" s="17" t="s">
        <v>166</v>
      </c>
      <c r="C45" s="45">
        <v>78222</v>
      </c>
    </row>
    <row r="46" spans="1:7" x14ac:dyDescent="0.25">
      <c r="A46" s="2" t="s">
        <v>35</v>
      </c>
      <c r="B46" s="17" t="s">
        <v>167</v>
      </c>
      <c r="C46" s="45">
        <v>63555</v>
      </c>
    </row>
    <row r="47" spans="1:7" x14ac:dyDescent="0.25">
      <c r="A47" s="3" t="s">
        <v>38</v>
      </c>
      <c r="B47" s="17" t="s">
        <v>168</v>
      </c>
      <c r="C47" s="45">
        <v>52000</v>
      </c>
    </row>
    <row r="48" spans="1:7" x14ac:dyDescent="0.25">
      <c r="A48" s="22"/>
      <c r="B48" s="22"/>
      <c r="C48" s="67"/>
    </row>
    <row r="49" spans="1:7" x14ac:dyDescent="0.25">
      <c r="A49" s="101" t="s">
        <v>111</v>
      </c>
      <c r="B49" s="91"/>
      <c r="C49" s="32" t="s">
        <v>112</v>
      </c>
    </row>
    <row r="50" spans="1:7" x14ac:dyDescent="0.25">
      <c r="A50" s="89" t="s">
        <v>164</v>
      </c>
      <c r="B50" s="81"/>
      <c r="C50" s="109" cm="1">
        <f t="array" ref="C50">VLOOKUP(A50,B43:C47,{2},FALSE)</f>
        <v>25000</v>
      </c>
    </row>
    <row r="51" spans="1:7" x14ac:dyDescent="0.25">
      <c r="A51" s="55"/>
      <c r="B51" s="55"/>
      <c r="C51" s="67"/>
    </row>
    <row r="52" spans="1:7" x14ac:dyDescent="0.25">
      <c r="A52" s="55"/>
      <c r="B52" s="55"/>
      <c r="C52" s="67"/>
    </row>
    <row r="53" spans="1:7" x14ac:dyDescent="0.25">
      <c r="A53" s="22"/>
      <c r="B53" s="22"/>
      <c r="C53" s="67"/>
    </row>
    <row r="54" spans="1:7" x14ac:dyDescent="0.25">
      <c r="A54" s="95" t="s">
        <v>89</v>
      </c>
      <c r="B54" s="96"/>
      <c r="C54" s="96"/>
      <c r="D54" s="96"/>
      <c r="E54" s="96"/>
      <c r="F54" s="96"/>
      <c r="G54" s="97"/>
    </row>
    <row r="55" spans="1:7" x14ac:dyDescent="0.25">
      <c r="A55" s="18">
        <v>5</v>
      </c>
      <c r="B55" s="81" t="s">
        <v>113</v>
      </c>
      <c r="C55" s="81"/>
      <c r="D55" s="81"/>
      <c r="E55" s="81"/>
      <c r="F55" s="81"/>
      <c r="G55" s="81"/>
    </row>
    <row r="56" spans="1:7" x14ac:dyDescent="0.25">
      <c r="A56" s="71"/>
    </row>
    <row r="57" spans="1:7" x14ac:dyDescent="0.25">
      <c r="A57" s="26" t="s">
        <v>115</v>
      </c>
      <c r="B57" s="26" t="s">
        <v>114</v>
      </c>
      <c r="C57" s="26" t="s">
        <v>116</v>
      </c>
    </row>
    <row r="58" spans="1:7" x14ac:dyDescent="0.25">
      <c r="A58" s="45" cm="1">
        <f t="array" ref="A58:C58">INDEX(A6:$I$25,MATCH($A$23,$A$6:$A$25),{5,4,7})</f>
        <v>41871</v>
      </c>
      <c r="B58" s="17" t="str">
        <v>Person 17</v>
      </c>
      <c r="C58" s="17" t="str">
        <v>8</v>
      </c>
      <c r="D58" s="33"/>
    </row>
    <row r="59" spans="1:7" x14ac:dyDescent="0.25">
      <c r="A59" s="25"/>
      <c r="B59" s="25"/>
      <c r="C59" s="25"/>
      <c r="D59" s="33"/>
    </row>
    <row r="60" spans="1:7" x14ac:dyDescent="0.25">
      <c r="A60" s="25"/>
      <c r="B60" s="25"/>
      <c r="C60" s="25"/>
      <c r="D60" s="33"/>
    </row>
    <row r="61" spans="1:7" x14ac:dyDescent="0.25">
      <c r="A61" s="25"/>
      <c r="B61" s="25"/>
      <c r="C61" s="25"/>
      <c r="D61" s="33"/>
    </row>
    <row r="62" spans="1:7" x14ac:dyDescent="0.25">
      <c r="A62" s="25"/>
      <c r="B62" s="25"/>
      <c r="C62" s="25"/>
      <c r="D62" s="33"/>
    </row>
    <row r="63" spans="1:7" x14ac:dyDescent="0.25">
      <c r="A63" s="95" t="s">
        <v>89</v>
      </c>
      <c r="B63" s="96"/>
      <c r="C63" s="96"/>
      <c r="D63" s="96"/>
      <c r="E63" s="96"/>
      <c r="F63" s="96"/>
      <c r="G63" s="97"/>
    </row>
    <row r="64" spans="1:7" x14ac:dyDescent="0.25">
      <c r="A64" s="11">
        <v>6</v>
      </c>
      <c r="B64" s="81" t="s">
        <v>124</v>
      </c>
      <c r="C64" s="81"/>
      <c r="D64" s="81"/>
      <c r="E64" s="81"/>
      <c r="F64" s="81"/>
      <c r="G64" s="81"/>
    </row>
    <row r="66" spans="1:11" ht="15" customHeight="1" x14ac:dyDescent="0.25">
      <c r="A66" s="100" t="s">
        <v>158</v>
      </c>
      <c r="B66" s="100"/>
      <c r="C66" s="40" t="s">
        <v>26</v>
      </c>
      <c r="D66" s="40" t="s">
        <v>27</v>
      </c>
      <c r="E66" s="40" t="s">
        <v>28</v>
      </c>
      <c r="F66" s="40" t="s">
        <v>29</v>
      </c>
      <c r="G66" s="41" t="s">
        <v>30</v>
      </c>
      <c r="H66" s="42" t="s">
        <v>31</v>
      </c>
      <c r="I66" s="42" t="s">
        <v>117</v>
      </c>
      <c r="J66" s="42" t="s">
        <v>95</v>
      </c>
      <c r="K66" s="42" t="s">
        <v>97</v>
      </c>
    </row>
    <row r="67" spans="1:11" x14ac:dyDescent="0.25">
      <c r="A67" s="81" t="s">
        <v>43</v>
      </c>
      <c r="B67" s="81"/>
      <c r="C67" s="17" cm="1">
        <f t="array" ref="C67:K67">_xlfn.XLOOKUP(A67,D7:D26,A7:I26,"-")</f>
        <v>2005</v>
      </c>
      <c r="D67" s="17" t="str">
        <v>Keyboard</v>
      </c>
      <c r="E67" s="17" t="str">
        <v>North</v>
      </c>
      <c r="F67" s="17" t="str">
        <v>Person 5</v>
      </c>
      <c r="G67" s="45">
        <v>43388</v>
      </c>
      <c r="H67" s="39">
        <v>44987</v>
      </c>
      <c r="I67" s="17" t="str">
        <v>3</v>
      </c>
      <c r="J67" s="104">
        <v>0.4</v>
      </c>
      <c r="K67" s="17" t="str">
        <v>Eligible</v>
      </c>
    </row>
    <row r="72" spans="1:11" x14ac:dyDescent="0.25">
      <c r="A72" s="95" t="s">
        <v>89</v>
      </c>
      <c r="B72" s="96"/>
      <c r="C72" s="96"/>
      <c r="D72" s="96"/>
      <c r="E72" s="96"/>
      <c r="F72" s="96"/>
      <c r="G72" s="97"/>
    </row>
    <row r="73" spans="1:11" x14ac:dyDescent="0.25">
      <c r="A73" s="11">
        <v>7</v>
      </c>
      <c r="B73" s="81" t="s">
        <v>127</v>
      </c>
      <c r="C73" s="81"/>
      <c r="D73" s="81"/>
      <c r="E73" s="81"/>
      <c r="F73" s="81"/>
      <c r="G73" s="81"/>
    </row>
    <row r="75" spans="1:11" x14ac:dyDescent="0.25">
      <c r="A75" s="46" t="s">
        <v>128</v>
      </c>
      <c r="B75" s="47" t="s">
        <v>129</v>
      </c>
    </row>
    <row r="76" spans="1:11" x14ac:dyDescent="0.25">
      <c r="A76" s="10" t="s">
        <v>50</v>
      </c>
      <c r="B76" s="10">
        <f>_xlfn.XMATCH(A76,B7:B25,0,1)</f>
        <v>12</v>
      </c>
    </row>
    <row r="77" spans="1:11" x14ac:dyDescent="0.25">
      <c r="A77" s="19"/>
      <c r="B77" s="20"/>
      <c r="C77" s="20"/>
    </row>
    <row r="78" spans="1:11" x14ac:dyDescent="0.25">
      <c r="A78" s="19"/>
      <c r="B78" s="20"/>
      <c r="C78" s="20"/>
    </row>
    <row r="79" spans="1:11" x14ac:dyDescent="0.25">
      <c r="A79" s="19"/>
      <c r="B79" s="20"/>
      <c r="C79" s="20"/>
    </row>
    <row r="80" spans="1:11" x14ac:dyDescent="0.25">
      <c r="A80" s="19"/>
      <c r="B80" s="20"/>
      <c r="C80" s="20"/>
    </row>
    <row r="81" spans="1:7" x14ac:dyDescent="0.25">
      <c r="A81" s="95" t="s">
        <v>89</v>
      </c>
      <c r="B81" s="96"/>
      <c r="C81" s="96"/>
      <c r="D81" s="96"/>
      <c r="E81" s="96"/>
      <c r="F81" s="96"/>
      <c r="G81" s="97"/>
    </row>
    <row r="82" spans="1:7" x14ac:dyDescent="0.25">
      <c r="A82" s="11">
        <v>8</v>
      </c>
      <c r="B82" s="81" t="s">
        <v>138</v>
      </c>
      <c r="C82" s="81"/>
      <c r="D82" s="81"/>
      <c r="E82" s="81"/>
      <c r="F82" s="81"/>
      <c r="G82" s="81"/>
    </row>
    <row r="84" spans="1:7" x14ac:dyDescent="0.25">
      <c r="A84" s="98" t="s">
        <v>139</v>
      </c>
      <c r="B84" s="99"/>
      <c r="C84" s="70"/>
      <c r="D84" s="70"/>
    </row>
    <row r="85" spans="1:7" x14ac:dyDescent="0.25">
      <c r="A85" s="30" t="s">
        <v>117</v>
      </c>
      <c r="B85" s="30" t="s">
        <v>30</v>
      </c>
      <c r="C85" s="61"/>
      <c r="D85" s="61"/>
    </row>
    <row r="86" spans="1:7" x14ac:dyDescent="0.25">
      <c r="A86" s="17" t="str" cm="1">
        <f t="array" aca="1" ref="A86:A105" ca="1">OFFSET($G7:$G26,0,0,COUNTA($E7:$E26),1)</f>
        <v>1</v>
      </c>
      <c r="B86" s="45" cm="1">
        <f t="array" aca="1" ref="B86:B105" ca="1">OFFSET(E7:E26,0,0,COUNTA(F7:F26),1)</f>
        <v>7048</v>
      </c>
    </row>
    <row r="87" spans="1:7" x14ac:dyDescent="0.25">
      <c r="A87" s="17" t="str">
        <f ca="1"/>
        <v>1</v>
      </c>
      <c r="B87" s="45">
        <f ca="1"/>
        <v>17428</v>
      </c>
    </row>
    <row r="88" spans="1:7" x14ac:dyDescent="0.25">
      <c r="A88" s="17" t="str">
        <f ca="1"/>
        <v>1</v>
      </c>
      <c r="B88" s="45">
        <f ca="1"/>
        <v>23672</v>
      </c>
    </row>
    <row r="89" spans="1:7" x14ac:dyDescent="0.25">
      <c r="A89" s="17" t="str">
        <f ca="1"/>
        <v>2</v>
      </c>
      <c r="B89" s="45">
        <f ca="1"/>
        <v>5264</v>
      </c>
    </row>
    <row r="90" spans="1:7" x14ac:dyDescent="0.25">
      <c r="A90" s="17" t="str">
        <f ca="1"/>
        <v>3</v>
      </c>
      <c r="B90" s="45">
        <f ca="1"/>
        <v>43388</v>
      </c>
    </row>
    <row r="91" spans="1:7" x14ac:dyDescent="0.25">
      <c r="A91" s="17" t="str">
        <f ca="1"/>
        <v>3</v>
      </c>
      <c r="B91" s="45">
        <f ca="1"/>
        <v>19757</v>
      </c>
      <c r="C91" s="68"/>
      <c r="D91" s="68"/>
    </row>
    <row r="92" spans="1:7" x14ac:dyDescent="0.25">
      <c r="A92" s="17" t="str">
        <f ca="1"/>
        <v>4</v>
      </c>
      <c r="B92" s="45">
        <f ca="1"/>
        <v>32058</v>
      </c>
      <c r="C92" s="68"/>
      <c r="D92" s="68"/>
    </row>
    <row r="93" spans="1:7" x14ac:dyDescent="0.25">
      <c r="A93" s="17" t="str">
        <f ca="1"/>
        <v>4</v>
      </c>
      <c r="B93" s="45">
        <f ca="1"/>
        <v>46429</v>
      </c>
      <c r="C93" s="68"/>
      <c r="D93" s="68"/>
    </row>
    <row r="94" spans="1:7" x14ac:dyDescent="0.25">
      <c r="A94" s="17" t="str">
        <f ca="1"/>
        <v>5</v>
      </c>
      <c r="B94" s="45">
        <f ca="1"/>
        <v>19746</v>
      </c>
      <c r="C94" s="68"/>
      <c r="D94" s="68"/>
    </row>
    <row r="95" spans="1:7" x14ac:dyDescent="0.25">
      <c r="A95" s="17" t="str">
        <f ca="1"/>
        <v>5</v>
      </c>
      <c r="B95" s="45">
        <f ca="1"/>
        <v>35185</v>
      </c>
      <c r="C95" s="68"/>
      <c r="D95" s="68"/>
    </row>
    <row r="96" spans="1:7" x14ac:dyDescent="0.25">
      <c r="A96" s="17" t="str">
        <f ca="1"/>
        <v>5</v>
      </c>
      <c r="B96" s="45">
        <f ca="1"/>
        <v>33920</v>
      </c>
      <c r="C96" s="68"/>
      <c r="D96" s="68"/>
    </row>
    <row r="97" spans="1:7" x14ac:dyDescent="0.25">
      <c r="A97" s="17" t="str">
        <f ca="1"/>
        <v>6</v>
      </c>
      <c r="B97" s="45">
        <f ca="1"/>
        <v>35611</v>
      </c>
      <c r="C97" s="68"/>
      <c r="D97" s="68"/>
    </row>
    <row r="98" spans="1:7" x14ac:dyDescent="0.25">
      <c r="A98" s="17" t="str">
        <f ca="1"/>
        <v>6</v>
      </c>
      <c r="B98" s="45">
        <f ca="1"/>
        <v>15560</v>
      </c>
      <c r="C98" s="68"/>
      <c r="D98" s="68"/>
    </row>
    <row r="99" spans="1:7" x14ac:dyDescent="0.25">
      <c r="A99" s="17" t="str">
        <f ca="1"/>
        <v>7</v>
      </c>
      <c r="B99" s="45">
        <f ca="1"/>
        <v>7283</v>
      </c>
      <c r="C99" s="68"/>
      <c r="D99" s="68"/>
    </row>
    <row r="100" spans="1:7" x14ac:dyDescent="0.25">
      <c r="A100" s="17" t="str">
        <f ca="1"/>
        <v>7</v>
      </c>
      <c r="B100" s="45">
        <f ca="1"/>
        <v>15678</v>
      </c>
      <c r="C100" s="68"/>
      <c r="D100" s="68"/>
    </row>
    <row r="101" spans="1:7" x14ac:dyDescent="0.25">
      <c r="A101" s="17" t="str">
        <f ca="1"/>
        <v>8</v>
      </c>
      <c r="B101" s="45">
        <f ca="1"/>
        <v>5277</v>
      </c>
      <c r="C101" s="68"/>
      <c r="D101" s="68"/>
    </row>
    <row r="102" spans="1:7" x14ac:dyDescent="0.25">
      <c r="A102" s="17" t="str">
        <f ca="1"/>
        <v>8</v>
      </c>
      <c r="B102" s="45">
        <f ca="1"/>
        <v>41871</v>
      </c>
      <c r="C102" s="68"/>
      <c r="D102" s="68"/>
    </row>
    <row r="103" spans="1:7" x14ac:dyDescent="0.25">
      <c r="A103" s="17" t="str">
        <f ca="1"/>
        <v>9</v>
      </c>
      <c r="B103" s="45">
        <f ca="1"/>
        <v>38161</v>
      </c>
      <c r="C103" s="68"/>
      <c r="D103" s="68"/>
    </row>
    <row r="104" spans="1:7" x14ac:dyDescent="0.25">
      <c r="A104" s="17" t="str">
        <f ca="1"/>
        <v>9</v>
      </c>
      <c r="B104" s="45">
        <f ca="1"/>
        <v>30436</v>
      </c>
      <c r="C104" s="68"/>
      <c r="D104" s="68"/>
    </row>
    <row r="105" spans="1:7" x14ac:dyDescent="0.25">
      <c r="A105" s="13" t="str">
        <f ca="1"/>
        <v>10</v>
      </c>
      <c r="B105" s="45">
        <f ca="1"/>
        <v>33953</v>
      </c>
      <c r="C105" s="68"/>
      <c r="D105" s="68"/>
    </row>
    <row r="106" spans="1:7" x14ac:dyDescent="0.25">
      <c r="A106" s="68"/>
      <c r="B106" s="68"/>
    </row>
    <row r="107" spans="1:7" x14ac:dyDescent="0.25">
      <c r="A107" s="69"/>
      <c r="B107" s="25"/>
      <c r="C107" s="68"/>
      <c r="D107" s="68"/>
    </row>
    <row r="108" spans="1:7" x14ac:dyDescent="0.25">
      <c r="A108" s="68"/>
      <c r="B108" s="61"/>
      <c r="C108" s="68"/>
      <c r="D108" s="68"/>
    </row>
    <row r="109" spans="1:7" x14ac:dyDescent="0.25">
      <c r="A109" s="95" t="s">
        <v>89</v>
      </c>
      <c r="B109" s="96"/>
      <c r="C109" s="96"/>
      <c r="D109" s="96"/>
      <c r="E109" s="96"/>
      <c r="F109" s="96"/>
      <c r="G109" s="97"/>
    </row>
    <row r="110" spans="1:7" x14ac:dyDescent="0.25">
      <c r="A110" s="43">
        <v>9</v>
      </c>
      <c r="B110" s="87" t="s">
        <v>144</v>
      </c>
      <c r="C110" s="88"/>
      <c r="D110" s="88"/>
      <c r="E110" s="88"/>
      <c r="F110" s="88"/>
      <c r="G110" s="89"/>
    </row>
    <row r="111" spans="1:7" x14ac:dyDescent="0.25">
      <c r="B111" s="22"/>
      <c r="C111" s="22"/>
      <c r="D111" s="22"/>
      <c r="E111" s="22"/>
      <c r="F111" s="22"/>
      <c r="G111" s="22"/>
    </row>
    <row r="112" spans="1:7" x14ac:dyDescent="0.25">
      <c r="A112" s="36" t="s">
        <v>30</v>
      </c>
      <c r="B112" s="36" t="s">
        <v>146</v>
      </c>
      <c r="C112" s="36" t="s">
        <v>147</v>
      </c>
      <c r="D112" s="36" t="s">
        <v>148</v>
      </c>
      <c r="E112" s="22"/>
      <c r="F112" s="22"/>
      <c r="G112" s="22"/>
    </row>
    <row r="113" spans="1:4" x14ac:dyDescent="0.25">
      <c r="A113" s="7">
        <v>7048</v>
      </c>
      <c r="B113" s="72">
        <f>ROUND(A113,-1)</f>
        <v>7050</v>
      </c>
      <c r="C113" s="72">
        <f>CEILING(A113,10)</f>
        <v>7050</v>
      </c>
      <c r="D113" s="72">
        <f>FLOOR(A113,10)</f>
        <v>7040</v>
      </c>
    </row>
    <row r="114" spans="1:4" x14ac:dyDescent="0.25">
      <c r="A114" s="7">
        <v>17428</v>
      </c>
      <c r="B114" s="72">
        <f t="shared" ref="B114:B132" si="3">ROUND(A114,-1)</f>
        <v>17430</v>
      </c>
      <c r="C114" s="72">
        <f t="shared" ref="C114:C132" si="4">CEILING(A114,10)</f>
        <v>17430</v>
      </c>
      <c r="D114" s="72">
        <f t="shared" ref="D114:D132" si="5">FLOOR(A114,10)</f>
        <v>17420</v>
      </c>
    </row>
    <row r="115" spans="1:4" x14ac:dyDescent="0.25">
      <c r="A115" s="7">
        <v>23672</v>
      </c>
      <c r="B115" s="72">
        <f t="shared" si="3"/>
        <v>23670</v>
      </c>
      <c r="C115" s="72">
        <f t="shared" si="4"/>
        <v>23680</v>
      </c>
      <c r="D115" s="72">
        <f t="shared" si="5"/>
        <v>23670</v>
      </c>
    </row>
    <row r="116" spans="1:4" x14ac:dyDescent="0.25">
      <c r="A116" s="7">
        <v>5264</v>
      </c>
      <c r="B116" s="72">
        <f t="shared" si="3"/>
        <v>5260</v>
      </c>
      <c r="C116" s="72">
        <f t="shared" si="4"/>
        <v>5270</v>
      </c>
      <c r="D116" s="72">
        <f t="shared" si="5"/>
        <v>5260</v>
      </c>
    </row>
    <row r="117" spans="1:4" x14ac:dyDescent="0.25">
      <c r="A117" s="7">
        <v>43388</v>
      </c>
      <c r="B117" s="72">
        <f t="shared" si="3"/>
        <v>43390</v>
      </c>
      <c r="C117" s="72">
        <f t="shared" si="4"/>
        <v>43390</v>
      </c>
      <c r="D117" s="72">
        <f t="shared" si="5"/>
        <v>43380</v>
      </c>
    </row>
    <row r="118" spans="1:4" x14ac:dyDescent="0.25">
      <c r="A118" s="7">
        <v>19757</v>
      </c>
      <c r="B118" s="72">
        <f t="shared" si="3"/>
        <v>19760</v>
      </c>
      <c r="C118" s="72">
        <f t="shared" si="4"/>
        <v>19760</v>
      </c>
      <c r="D118" s="72">
        <f t="shared" si="5"/>
        <v>19750</v>
      </c>
    </row>
    <row r="119" spans="1:4" x14ac:dyDescent="0.25">
      <c r="A119" s="7">
        <v>32058</v>
      </c>
      <c r="B119" s="72">
        <f t="shared" si="3"/>
        <v>32060</v>
      </c>
      <c r="C119" s="72">
        <f t="shared" si="4"/>
        <v>32060</v>
      </c>
      <c r="D119" s="72">
        <f t="shared" si="5"/>
        <v>32050</v>
      </c>
    </row>
    <row r="120" spans="1:4" x14ac:dyDescent="0.25">
      <c r="A120" s="7">
        <v>46429</v>
      </c>
      <c r="B120" s="72">
        <f t="shared" si="3"/>
        <v>46430</v>
      </c>
      <c r="C120" s="72">
        <f t="shared" si="4"/>
        <v>46430</v>
      </c>
      <c r="D120" s="72">
        <f t="shared" si="5"/>
        <v>46420</v>
      </c>
    </row>
    <row r="121" spans="1:4" x14ac:dyDescent="0.25">
      <c r="A121" s="7">
        <v>19746</v>
      </c>
      <c r="B121" s="72">
        <f t="shared" si="3"/>
        <v>19750</v>
      </c>
      <c r="C121" s="72">
        <f t="shared" si="4"/>
        <v>19750</v>
      </c>
      <c r="D121" s="72">
        <f t="shared" si="5"/>
        <v>19740</v>
      </c>
    </row>
    <row r="122" spans="1:4" x14ac:dyDescent="0.25">
      <c r="A122" s="7">
        <v>35185</v>
      </c>
      <c r="B122" s="72">
        <f t="shared" si="3"/>
        <v>35190</v>
      </c>
      <c r="C122" s="72">
        <f t="shared" si="4"/>
        <v>35190</v>
      </c>
      <c r="D122" s="72">
        <f t="shared" si="5"/>
        <v>35180</v>
      </c>
    </row>
    <row r="123" spans="1:4" x14ac:dyDescent="0.25">
      <c r="A123" s="7">
        <v>33920</v>
      </c>
      <c r="B123" s="72">
        <f t="shared" si="3"/>
        <v>33920</v>
      </c>
      <c r="C123" s="72">
        <f t="shared" si="4"/>
        <v>33920</v>
      </c>
      <c r="D123" s="72">
        <f t="shared" si="5"/>
        <v>33920</v>
      </c>
    </row>
    <row r="124" spans="1:4" x14ac:dyDescent="0.25">
      <c r="A124" s="7">
        <v>35611</v>
      </c>
      <c r="B124" s="72">
        <f t="shared" si="3"/>
        <v>35610</v>
      </c>
      <c r="C124" s="72">
        <f t="shared" si="4"/>
        <v>35620</v>
      </c>
      <c r="D124" s="72">
        <f t="shared" si="5"/>
        <v>35610</v>
      </c>
    </row>
    <row r="125" spans="1:4" x14ac:dyDescent="0.25">
      <c r="A125" s="7">
        <v>15560</v>
      </c>
      <c r="B125" s="72">
        <f t="shared" si="3"/>
        <v>15560</v>
      </c>
      <c r="C125" s="72">
        <f t="shared" si="4"/>
        <v>15560</v>
      </c>
      <c r="D125" s="72">
        <f t="shared" si="5"/>
        <v>15560</v>
      </c>
    </row>
    <row r="126" spans="1:4" x14ac:dyDescent="0.25">
      <c r="A126" s="7">
        <v>7283</v>
      </c>
      <c r="B126" s="72">
        <f t="shared" si="3"/>
        <v>7280</v>
      </c>
      <c r="C126" s="72">
        <f t="shared" si="4"/>
        <v>7290</v>
      </c>
      <c r="D126" s="72">
        <f t="shared" si="5"/>
        <v>7280</v>
      </c>
    </row>
    <row r="127" spans="1:4" x14ac:dyDescent="0.25">
      <c r="A127" s="7">
        <v>15678</v>
      </c>
      <c r="B127" s="72">
        <f t="shared" si="3"/>
        <v>15680</v>
      </c>
      <c r="C127" s="72">
        <f t="shared" si="4"/>
        <v>15680</v>
      </c>
      <c r="D127" s="72">
        <f t="shared" si="5"/>
        <v>15670</v>
      </c>
    </row>
    <row r="128" spans="1:4" x14ac:dyDescent="0.25">
      <c r="A128" s="7">
        <v>5277</v>
      </c>
      <c r="B128" s="72">
        <f t="shared" si="3"/>
        <v>5280</v>
      </c>
      <c r="C128" s="72">
        <f t="shared" si="4"/>
        <v>5280</v>
      </c>
      <c r="D128" s="72">
        <f t="shared" si="5"/>
        <v>5270</v>
      </c>
    </row>
    <row r="129" spans="1:4" x14ac:dyDescent="0.25">
      <c r="A129" s="7">
        <v>41871</v>
      </c>
      <c r="B129" s="72">
        <f t="shared" si="3"/>
        <v>41870</v>
      </c>
      <c r="C129" s="72">
        <f t="shared" si="4"/>
        <v>41880</v>
      </c>
      <c r="D129" s="72">
        <f t="shared" si="5"/>
        <v>41870</v>
      </c>
    </row>
    <row r="130" spans="1:4" x14ac:dyDescent="0.25">
      <c r="A130" s="7">
        <v>38161</v>
      </c>
      <c r="B130" s="72">
        <f t="shared" si="3"/>
        <v>38160</v>
      </c>
      <c r="C130" s="72">
        <f t="shared" si="4"/>
        <v>38170</v>
      </c>
      <c r="D130" s="72">
        <f t="shared" si="5"/>
        <v>38160</v>
      </c>
    </row>
    <row r="131" spans="1:4" x14ac:dyDescent="0.25">
      <c r="A131" s="51">
        <v>30436</v>
      </c>
      <c r="B131" s="72">
        <f t="shared" si="3"/>
        <v>30440</v>
      </c>
      <c r="C131" s="72">
        <f t="shared" si="4"/>
        <v>30440</v>
      </c>
      <c r="D131" s="72">
        <f t="shared" si="5"/>
        <v>30430</v>
      </c>
    </row>
    <row r="132" spans="1:4" x14ac:dyDescent="0.25">
      <c r="A132" s="8">
        <v>33953</v>
      </c>
      <c r="B132" s="72">
        <f t="shared" si="3"/>
        <v>33950</v>
      </c>
      <c r="C132" s="72">
        <f t="shared" si="4"/>
        <v>33960</v>
      </c>
      <c r="D132" s="72">
        <f t="shared" si="5"/>
        <v>33950</v>
      </c>
    </row>
  </sheetData>
  <mergeCells count="22">
    <mergeCell ref="B110:G110"/>
    <mergeCell ref="B82:G82"/>
    <mergeCell ref="A49:B49"/>
    <mergeCell ref="A50:B50"/>
    <mergeCell ref="A72:G72"/>
    <mergeCell ref="A81:G81"/>
    <mergeCell ref="A109:G109"/>
    <mergeCell ref="A84:B84"/>
    <mergeCell ref="A1:G1"/>
    <mergeCell ref="B31:G31"/>
    <mergeCell ref="A30:G30"/>
    <mergeCell ref="B55:G55"/>
    <mergeCell ref="B64:G64"/>
    <mergeCell ref="B3:G3"/>
    <mergeCell ref="B2:G2"/>
    <mergeCell ref="B40:G40"/>
    <mergeCell ref="A39:G39"/>
    <mergeCell ref="A54:G54"/>
    <mergeCell ref="A63:G63"/>
    <mergeCell ref="A66:B66"/>
    <mergeCell ref="A67:B67"/>
    <mergeCell ref="B73:G73"/>
  </mergeCells>
  <phoneticPr fontId="13" type="noConversion"/>
  <dataValidations count="7">
    <dataValidation type="list" allowBlank="1" showInputMessage="1" showErrorMessage="1" sqref="B34:B38 A76 B77:B80 B82" xr:uid="{90C5859B-9477-481D-94E8-98E8F38B3173}">
      <formula1>$B$7:$B$25</formula1>
    </dataValidation>
    <dataValidation type="list" allowBlank="1" showInputMessage="1" showErrorMessage="1" sqref="A67:B67" xr:uid="{782F7F0C-FACA-43C2-BB25-2A5DB0515816}">
      <formula1>$D$7:$D$26</formula1>
    </dataValidation>
    <dataValidation type="list" allowBlank="1" showInputMessage="1" showErrorMessage="1" sqref="A34:A38" xr:uid="{64E1C837-7AD6-440A-9194-7CD24A5A16A9}">
      <formula1>$C$7:$C$25</formula1>
    </dataValidation>
    <dataValidation type="custom" allowBlank="1" showInputMessage="1" showErrorMessage="1" sqref="D62" xr:uid="{23A30360-7458-4E28-992B-7EE6052717F1}">
      <formula1>MONTH(H8:H26)</formula1>
    </dataValidation>
    <dataValidation type="custom" allowBlank="1" showInputMessage="1" showErrorMessage="1" sqref="D58:D60" xr:uid="{F4AC7053-D461-4017-A1D5-5B0E57F659ED}">
      <formula1>MONTH(H7:H25)</formula1>
    </dataValidation>
    <dataValidation type="custom" allowBlank="1" showInputMessage="1" showErrorMessage="1" sqref="D61" xr:uid="{D691EF16-97FF-4247-A2A3-BAEDDB820F70}">
      <formula1>MONTH(H9:H27)</formula1>
    </dataValidation>
    <dataValidation type="list" allowBlank="1" showInputMessage="1" showErrorMessage="1" sqref="A50:B50" xr:uid="{C8EE702D-3A70-419E-8616-9DF3124425F4}">
      <formula1>$B$43:$B$47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4E4F5-8757-47E6-ACE8-57170442CEF2}">
  <dimension ref="A1:H54"/>
  <sheetViews>
    <sheetView tabSelected="1" workbookViewId="0">
      <selection activeCell="H2" sqref="H2"/>
    </sheetView>
  </sheetViews>
  <sheetFormatPr defaultRowHeight="15" x14ac:dyDescent="0.25"/>
  <cols>
    <col min="1" max="1" width="19" customWidth="1"/>
    <col min="2" max="2" width="21.28515625" customWidth="1"/>
    <col min="3" max="3" width="12.140625" bestFit="1" customWidth="1"/>
    <col min="4" max="4" width="12.28515625" bestFit="1" customWidth="1"/>
    <col min="5" max="5" width="15.5703125" bestFit="1" customWidth="1"/>
    <col min="6" max="6" width="12.140625" customWidth="1"/>
    <col min="7" max="7" width="13.85546875" customWidth="1"/>
    <col min="8" max="8" width="11.42578125" customWidth="1"/>
    <col min="9" max="9" width="14.85546875" customWidth="1"/>
  </cols>
  <sheetData>
    <row r="1" spans="1:8" x14ac:dyDescent="0.25">
      <c r="A1" s="103" t="s">
        <v>89</v>
      </c>
      <c r="B1" s="103"/>
      <c r="C1" s="103"/>
      <c r="D1" s="103"/>
      <c r="E1" s="103"/>
      <c r="F1" s="103"/>
    </row>
    <row r="2" spans="1:8" x14ac:dyDescent="0.25">
      <c r="A2" s="11">
        <v>1</v>
      </c>
      <c r="B2" s="81" t="s">
        <v>121</v>
      </c>
      <c r="C2" s="81"/>
      <c r="D2" s="81"/>
      <c r="E2" s="81"/>
      <c r="F2" s="81"/>
    </row>
    <row r="3" spans="1:8" x14ac:dyDescent="0.25">
      <c r="A3" s="43">
        <v>2</v>
      </c>
      <c r="B3" s="87" t="s">
        <v>141</v>
      </c>
      <c r="C3" s="88"/>
      <c r="D3" s="88"/>
      <c r="E3" s="88"/>
      <c r="F3" s="89"/>
    </row>
    <row r="5" spans="1:8" ht="15" customHeight="1" x14ac:dyDescent="0.25">
      <c r="A5" s="1" t="s">
        <v>61</v>
      </c>
      <c r="B5" s="1" t="s">
        <v>1</v>
      </c>
      <c r="C5" s="1" t="s">
        <v>62</v>
      </c>
      <c r="D5" s="6" t="s">
        <v>63</v>
      </c>
      <c r="E5" s="4" t="s">
        <v>64</v>
      </c>
      <c r="F5" s="12" t="s">
        <v>122</v>
      </c>
      <c r="G5" s="12" t="s">
        <v>123</v>
      </c>
      <c r="H5" s="12" t="s">
        <v>149</v>
      </c>
    </row>
    <row r="6" spans="1:8" ht="15" customHeight="1" x14ac:dyDescent="0.25">
      <c r="A6" s="2">
        <v>3001</v>
      </c>
      <c r="B6" s="2" t="s">
        <v>65</v>
      </c>
      <c r="C6" s="2" t="s">
        <v>66</v>
      </c>
      <c r="D6" s="8">
        <v>86766</v>
      </c>
      <c r="E6" s="5">
        <v>42005</v>
      </c>
      <c r="F6" s="10" t="str">
        <f>UPPER(B6)</f>
        <v>EMPLOYEE 1</v>
      </c>
      <c r="G6" s="10" t="str">
        <f>LOWER(B6)</f>
        <v>employee 1</v>
      </c>
      <c r="H6" s="17">
        <f ca="1">_xlfn.DAYS(TODAY(),E6)</f>
        <v>4290</v>
      </c>
    </row>
    <row r="7" spans="1:8" ht="15" customHeight="1" x14ac:dyDescent="0.25">
      <c r="A7" s="2">
        <v>3002</v>
      </c>
      <c r="B7" s="2" t="s">
        <v>67</v>
      </c>
      <c r="C7" s="2" t="s">
        <v>66</v>
      </c>
      <c r="D7" s="8">
        <v>31943</v>
      </c>
      <c r="E7" s="5">
        <v>42255</v>
      </c>
      <c r="F7" s="10" t="str">
        <f t="shared" ref="F7:F25" si="0">UPPER(B7)</f>
        <v>EMPLOYEE 2</v>
      </c>
      <c r="G7" s="10" t="str">
        <f t="shared" ref="G7:G25" si="1">LOWER(B7)</f>
        <v>employee 2</v>
      </c>
      <c r="H7" s="17">
        <f t="shared" ref="H7:H25" ca="1" si="2">_xlfn.DAYS(TODAY(),E7)</f>
        <v>4040</v>
      </c>
    </row>
    <row r="8" spans="1:8" ht="15" customHeight="1" x14ac:dyDescent="0.25">
      <c r="A8" s="2">
        <v>3003</v>
      </c>
      <c r="B8" s="2" t="s">
        <v>68</v>
      </c>
      <c r="C8" s="2" t="s">
        <v>69</v>
      </c>
      <c r="D8" s="8">
        <v>63374</v>
      </c>
      <c r="E8" s="5">
        <v>42505</v>
      </c>
      <c r="F8" s="10" t="str">
        <f t="shared" si="0"/>
        <v>EMPLOYEE 3</v>
      </c>
      <c r="G8" s="10" t="str">
        <f t="shared" si="1"/>
        <v>employee 3</v>
      </c>
      <c r="H8" s="17">
        <f t="shared" ca="1" si="2"/>
        <v>3790</v>
      </c>
    </row>
    <row r="9" spans="1:8" ht="15" customHeight="1" x14ac:dyDescent="0.25">
      <c r="A9" s="2">
        <v>3004</v>
      </c>
      <c r="B9" s="2" t="s">
        <v>70</v>
      </c>
      <c r="C9" s="2" t="s">
        <v>66</v>
      </c>
      <c r="D9" s="8">
        <v>109972</v>
      </c>
      <c r="E9" s="5">
        <v>42755</v>
      </c>
      <c r="F9" s="10" t="str">
        <f t="shared" si="0"/>
        <v>EMPLOYEE 4</v>
      </c>
      <c r="G9" s="10" t="str">
        <f t="shared" si="1"/>
        <v>employee 4</v>
      </c>
      <c r="H9" s="17">
        <f t="shared" ca="1" si="2"/>
        <v>3540</v>
      </c>
    </row>
    <row r="10" spans="1:8" ht="15" customHeight="1" x14ac:dyDescent="0.25">
      <c r="A10" s="2">
        <v>3005</v>
      </c>
      <c r="B10" s="2" t="s">
        <v>71</v>
      </c>
      <c r="C10" s="2" t="s">
        <v>72</v>
      </c>
      <c r="D10" s="8">
        <v>54149</v>
      </c>
      <c r="E10" s="5">
        <v>43005</v>
      </c>
      <c r="F10" s="10" t="str">
        <f t="shared" si="0"/>
        <v>EMPLOYEE 5</v>
      </c>
      <c r="G10" s="10" t="str">
        <f t="shared" si="1"/>
        <v>employee 5</v>
      </c>
      <c r="H10" s="17">
        <f t="shared" ca="1" si="2"/>
        <v>3290</v>
      </c>
    </row>
    <row r="11" spans="1:8" ht="15" customHeight="1" x14ac:dyDescent="0.25">
      <c r="A11" s="2">
        <v>3006</v>
      </c>
      <c r="B11" s="2" t="s">
        <v>73</v>
      </c>
      <c r="C11" s="2" t="s">
        <v>72</v>
      </c>
      <c r="D11" s="8">
        <v>78689</v>
      </c>
      <c r="E11" s="5">
        <v>43255</v>
      </c>
      <c r="F11" s="10" t="str">
        <f t="shared" si="0"/>
        <v>EMPLOYEE 6</v>
      </c>
      <c r="G11" s="10" t="str">
        <f t="shared" si="1"/>
        <v>employee 6</v>
      </c>
      <c r="H11" s="17">
        <f t="shared" ca="1" si="2"/>
        <v>3040</v>
      </c>
    </row>
    <row r="12" spans="1:8" ht="15" customHeight="1" x14ac:dyDescent="0.25">
      <c r="A12" s="2">
        <v>3007</v>
      </c>
      <c r="B12" s="2" t="s">
        <v>74</v>
      </c>
      <c r="C12" s="2" t="s">
        <v>75</v>
      </c>
      <c r="D12" s="8">
        <v>35960</v>
      </c>
      <c r="E12" s="5">
        <v>43505</v>
      </c>
      <c r="F12" s="10" t="str">
        <f t="shared" si="0"/>
        <v>EMPLOYEE 7</v>
      </c>
      <c r="G12" s="10" t="str">
        <f t="shared" si="1"/>
        <v>employee 7</v>
      </c>
      <c r="H12" s="17">
        <f t="shared" ca="1" si="2"/>
        <v>2790</v>
      </c>
    </row>
    <row r="13" spans="1:8" ht="15" customHeight="1" x14ac:dyDescent="0.25">
      <c r="A13" s="2">
        <v>3008</v>
      </c>
      <c r="B13" s="2" t="s">
        <v>76</v>
      </c>
      <c r="C13" s="2" t="s">
        <v>72</v>
      </c>
      <c r="D13" s="8">
        <v>91659</v>
      </c>
      <c r="E13" s="5">
        <v>43755</v>
      </c>
      <c r="F13" s="10" t="str">
        <f t="shared" si="0"/>
        <v>EMPLOYEE 8</v>
      </c>
      <c r="G13" s="10" t="str">
        <f t="shared" si="1"/>
        <v>employee 8</v>
      </c>
      <c r="H13" s="17">
        <f t="shared" ca="1" si="2"/>
        <v>2540</v>
      </c>
    </row>
    <row r="14" spans="1:8" ht="15" customHeight="1" x14ac:dyDescent="0.25">
      <c r="A14" s="2">
        <v>3009</v>
      </c>
      <c r="B14" s="2" t="s">
        <v>77</v>
      </c>
      <c r="C14" s="2" t="s">
        <v>72</v>
      </c>
      <c r="D14" s="8">
        <v>90423</v>
      </c>
      <c r="E14" s="5">
        <v>44005</v>
      </c>
      <c r="F14" s="10" t="str">
        <f t="shared" si="0"/>
        <v>EMPLOYEE 9</v>
      </c>
      <c r="G14" s="10" t="str">
        <f t="shared" si="1"/>
        <v>employee 9</v>
      </c>
      <c r="H14" s="17">
        <f t="shared" ca="1" si="2"/>
        <v>2290</v>
      </c>
    </row>
    <row r="15" spans="1:8" ht="15" customHeight="1" x14ac:dyDescent="0.25">
      <c r="A15" s="2">
        <v>3010</v>
      </c>
      <c r="B15" s="2" t="s">
        <v>78</v>
      </c>
      <c r="C15" s="2" t="s">
        <v>69</v>
      </c>
      <c r="D15" s="8">
        <v>107877</v>
      </c>
      <c r="E15" s="5">
        <v>44255</v>
      </c>
      <c r="F15" s="10" t="str">
        <f t="shared" si="0"/>
        <v>EMPLOYEE 10</v>
      </c>
      <c r="G15" s="10" t="str">
        <f t="shared" si="1"/>
        <v>employee 10</v>
      </c>
      <c r="H15" s="17">
        <f t="shared" ca="1" si="2"/>
        <v>2040</v>
      </c>
    </row>
    <row r="16" spans="1:8" ht="15" customHeight="1" x14ac:dyDescent="0.25">
      <c r="A16" s="2">
        <v>3011</v>
      </c>
      <c r="B16" s="2" t="s">
        <v>79</v>
      </c>
      <c r="C16" s="2" t="s">
        <v>66</v>
      </c>
      <c r="D16" s="8">
        <v>107634</v>
      </c>
      <c r="E16" s="5">
        <v>44505</v>
      </c>
      <c r="F16" s="10" t="str">
        <f t="shared" si="0"/>
        <v>EMPLOYEE 11</v>
      </c>
      <c r="G16" s="10" t="str">
        <f t="shared" si="1"/>
        <v>employee 11</v>
      </c>
      <c r="H16" s="17">
        <f t="shared" ca="1" si="2"/>
        <v>1790</v>
      </c>
    </row>
    <row r="17" spans="1:8" ht="15" customHeight="1" x14ac:dyDescent="0.25">
      <c r="A17" s="2">
        <v>3012</v>
      </c>
      <c r="B17" s="2" t="s">
        <v>80</v>
      </c>
      <c r="C17" s="2" t="s">
        <v>66</v>
      </c>
      <c r="D17" s="8">
        <v>35226</v>
      </c>
      <c r="E17" s="5">
        <v>44755</v>
      </c>
      <c r="F17" s="10" t="str">
        <f t="shared" si="0"/>
        <v>EMPLOYEE 12</v>
      </c>
      <c r="G17" s="10" t="str">
        <f t="shared" si="1"/>
        <v>employee 12</v>
      </c>
      <c r="H17" s="17">
        <f t="shared" ca="1" si="2"/>
        <v>1540</v>
      </c>
    </row>
    <row r="18" spans="1:8" ht="15" customHeight="1" x14ac:dyDescent="0.25">
      <c r="A18" s="2">
        <v>3013</v>
      </c>
      <c r="B18" s="2" t="s">
        <v>81</v>
      </c>
      <c r="C18" s="2" t="s">
        <v>69</v>
      </c>
      <c r="D18" s="8">
        <v>40872</v>
      </c>
      <c r="E18" s="5">
        <v>45005</v>
      </c>
      <c r="F18" s="10" t="str">
        <f t="shared" si="0"/>
        <v>EMPLOYEE 13</v>
      </c>
      <c r="G18" s="10" t="str">
        <f t="shared" si="1"/>
        <v>employee 13</v>
      </c>
      <c r="H18" s="17">
        <f t="shared" ca="1" si="2"/>
        <v>1290</v>
      </c>
    </row>
    <row r="19" spans="1:8" ht="15" customHeight="1" x14ac:dyDescent="0.25">
      <c r="A19" s="2">
        <v>3014</v>
      </c>
      <c r="B19" s="2" t="s">
        <v>82</v>
      </c>
      <c r="C19" s="2" t="s">
        <v>69</v>
      </c>
      <c r="D19" s="8">
        <v>55378</v>
      </c>
      <c r="E19" s="5">
        <v>45255</v>
      </c>
      <c r="F19" s="10" t="str">
        <f t="shared" si="0"/>
        <v>EMPLOYEE 14</v>
      </c>
      <c r="G19" s="10" t="str">
        <f t="shared" si="1"/>
        <v>employee 14</v>
      </c>
      <c r="H19" s="17">
        <f t="shared" ca="1" si="2"/>
        <v>1040</v>
      </c>
    </row>
    <row r="20" spans="1:8" ht="15" customHeight="1" x14ac:dyDescent="0.25">
      <c r="A20" s="2">
        <v>3015</v>
      </c>
      <c r="B20" s="2" t="s">
        <v>83</v>
      </c>
      <c r="C20" s="2" t="s">
        <v>69</v>
      </c>
      <c r="D20" s="8">
        <v>63297</v>
      </c>
      <c r="E20" s="5">
        <v>45505</v>
      </c>
      <c r="F20" s="10" t="str">
        <f t="shared" si="0"/>
        <v>EMPLOYEE 15</v>
      </c>
      <c r="G20" s="10" t="str">
        <f t="shared" si="1"/>
        <v>employee 15</v>
      </c>
      <c r="H20" s="17">
        <f t="shared" ca="1" si="2"/>
        <v>790</v>
      </c>
    </row>
    <row r="21" spans="1:8" ht="15" customHeight="1" x14ac:dyDescent="0.25">
      <c r="A21" s="2">
        <v>3016</v>
      </c>
      <c r="B21" s="2" t="s">
        <v>84</v>
      </c>
      <c r="C21" s="2" t="s">
        <v>66</v>
      </c>
      <c r="D21" s="8">
        <v>114173</v>
      </c>
      <c r="E21" s="5">
        <v>45755</v>
      </c>
      <c r="F21" s="10" t="str">
        <f t="shared" si="0"/>
        <v>EMPLOYEE 16</v>
      </c>
      <c r="G21" s="10" t="str">
        <f t="shared" si="1"/>
        <v>employee 16</v>
      </c>
      <c r="H21" s="17">
        <f t="shared" ca="1" si="2"/>
        <v>540</v>
      </c>
    </row>
    <row r="22" spans="1:8" ht="15" customHeight="1" x14ac:dyDescent="0.25">
      <c r="A22" s="2">
        <v>3017</v>
      </c>
      <c r="B22" s="2" t="s">
        <v>85</v>
      </c>
      <c r="C22" s="2" t="s">
        <v>69</v>
      </c>
      <c r="D22" s="8">
        <v>86915</v>
      </c>
      <c r="E22" s="5">
        <v>46005</v>
      </c>
      <c r="F22" s="10" t="str">
        <f t="shared" si="0"/>
        <v>EMPLOYEE 17</v>
      </c>
      <c r="G22" s="10" t="str">
        <f t="shared" si="1"/>
        <v>employee 17</v>
      </c>
      <c r="H22" s="17">
        <f t="shared" ca="1" si="2"/>
        <v>290</v>
      </c>
    </row>
    <row r="23" spans="1:8" ht="15" customHeight="1" x14ac:dyDescent="0.25">
      <c r="A23" s="2">
        <v>3018</v>
      </c>
      <c r="B23" s="2" t="s">
        <v>86</v>
      </c>
      <c r="C23" s="2" t="s">
        <v>72</v>
      </c>
      <c r="D23" s="8">
        <v>116284</v>
      </c>
      <c r="E23" s="5">
        <v>46255</v>
      </c>
      <c r="F23" s="10" t="str">
        <f t="shared" si="0"/>
        <v>EMPLOYEE 18</v>
      </c>
      <c r="G23" s="10" t="str">
        <f t="shared" si="1"/>
        <v>employee 18</v>
      </c>
      <c r="H23" s="17">
        <f t="shared" ca="1" si="2"/>
        <v>40</v>
      </c>
    </row>
    <row r="24" spans="1:8" ht="15" customHeight="1" x14ac:dyDescent="0.25">
      <c r="A24" s="2">
        <v>3019</v>
      </c>
      <c r="B24" s="2" t="s">
        <v>87</v>
      </c>
      <c r="C24" s="2" t="s">
        <v>75</v>
      </c>
      <c r="D24" s="8">
        <v>116283</v>
      </c>
      <c r="E24" s="5">
        <v>46505</v>
      </c>
      <c r="F24" s="10" t="str">
        <f t="shared" si="0"/>
        <v>EMPLOYEE 19</v>
      </c>
      <c r="G24" s="10" t="str">
        <f t="shared" si="1"/>
        <v>employee 19</v>
      </c>
      <c r="H24" s="17">
        <f t="shared" ca="1" si="2"/>
        <v>-210</v>
      </c>
    </row>
    <row r="25" spans="1:8" ht="15" customHeight="1" x14ac:dyDescent="0.25">
      <c r="A25" s="2">
        <v>3020</v>
      </c>
      <c r="B25" s="2" t="s">
        <v>88</v>
      </c>
      <c r="C25" s="2" t="s">
        <v>75</v>
      </c>
      <c r="D25" s="8">
        <v>99924</v>
      </c>
      <c r="E25" s="5">
        <v>46755</v>
      </c>
      <c r="F25" s="10" t="str">
        <f t="shared" si="0"/>
        <v>EMPLOYEE 20</v>
      </c>
      <c r="G25" s="10" t="str">
        <f t="shared" si="1"/>
        <v>employee 20</v>
      </c>
      <c r="H25" s="17">
        <f t="shared" ca="1" si="2"/>
        <v>-460</v>
      </c>
    </row>
    <row r="26" spans="1:8" ht="15" customHeight="1" x14ac:dyDescent="0.25">
      <c r="A26" s="56"/>
      <c r="B26" s="56"/>
      <c r="C26" s="56"/>
      <c r="D26" s="66"/>
      <c r="E26" s="57"/>
      <c r="F26" s="20"/>
      <c r="G26" s="20"/>
      <c r="H26" s="20"/>
    </row>
    <row r="27" spans="1:8" ht="15" customHeight="1" x14ac:dyDescent="0.25">
      <c r="A27" s="56"/>
      <c r="B27" s="56"/>
      <c r="C27" s="56"/>
      <c r="D27" s="66"/>
      <c r="E27" s="57"/>
      <c r="F27" s="20"/>
      <c r="G27" s="20"/>
      <c r="H27" s="20"/>
    </row>
    <row r="28" spans="1:8" ht="15" customHeight="1" x14ac:dyDescent="0.25">
      <c r="A28" s="56"/>
      <c r="B28" s="56"/>
      <c r="C28" s="56"/>
      <c r="D28" s="66"/>
      <c r="E28" s="57"/>
      <c r="F28" s="20"/>
      <c r="G28" s="20"/>
      <c r="H28" s="20"/>
    </row>
    <row r="29" spans="1:8" ht="15" customHeight="1" x14ac:dyDescent="0.25">
      <c r="A29" s="56"/>
      <c r="B29" s="56"/>
      <c r="C29" s="56"/>
      <c r="D29" s="66"/>
      <c r="E29" s="57"/>
      <c r="F29" s="20"/>
      <c r="G29" s="20"/>
      <c r="H29" s="20"/>
    </row>
    <row r="30" spans="1:8" ht="15" customHeight="1" x14ac:dyDescent="0.25">
      <c r="A30" s="103" t="s">
        <v>89</v>
      </c>
      <c r="B30" s="103"/>
      <c r="C30" s="103"/>
      <c r="D30" s="103"/>
      <c r="E30" s="103"/>
      <c r="F30" s="103"/>
      <c r="G30" s="20"/>
      <c r="H30" s="20"/>
    </row>
    <row r="31" spans="1:8" x14ac:dyDescent="0.25">
      <c r="A31" s="11">
        <v>3</v>
      </c>
      <c r="B31" s="102" t="s">
        <v>118</v>
      </c>
      <c r="C31" s="102"/>
      <c r="D31" s="102"/>
      <c r="E31" s="102"/>
      <c r="F31" s="102"/>
    </row>
    <row r="32" spans="1:8" ht="15" customHeight="1" x14ac:dyDescent="0.25">
      <c r="A32" s="20"/>
      <c r="B32" s="20"/>
    </row>
    <row r="33" spans="1:6" ht="15" customHeight="1" x14ac:dyDescent="0.25">
      <c r="A33" s="38" t="s">
        <v>119</v>
      </c>
      <c r="B33" s="35" t="s">
        <v>1</v>
      </c>
      <c r="C33" s="35" t="s">
        <v>62</v>
      </c>
      <c r="D33" s="36" t="s">
        <v>63</v>
      </c>
      <c r="E33" s="37" t="s">
        <v>64</v>
      </c>
    </row>
    <row r="34" spans="1:6" x14ac:dyDescent="0.25">
      <c r="A34" s="23">
        <v>3010</v>
      </c>
      <c r="B34" s="17" t="str" cm="1">
        <f t="array" ref="B34:E34">INDEX(A5:E25,MATCH(A34,A5:A25,0),{2,3,4,5})</f>
        <v>Employee 10</v>
      </c>
      <c r="C34" s="17" t="str">
        <v>HR</v>
      </c>
      <c r="D34" s="45">
        <v>107877</v>
      </c>
      <c r="E34" s="39">
        <v>44255</v>
      </c>
      <c r="F34" s="20"/>
    </row>
    <row r="35" spans="1:6" x14ac:dyDescent="0.25">
      <c r="A35" s="73"/>
      <c r="B35" s="25"/>
      <c r="C35" s="25"/>
      <c r="D35" s="25"/>
      <c r="E35" s="74"/>
      <c r="F35" s="20"/>
    </row>
    <row r="36" spans="1:6" x14ac:dyDescent="0.25">
      <c r="A36" s="73"/>
      <c r="B36" s="25"/>
      <c r="C36" s="25"/>
      <c r="D36" s="25"/>
      <c r="E36" s="74"/>
      <c r="F36" s="20"/>
    </row>
    <row r="37" spans="1:6" x14ac:dyDescent="0.25">
      <c r="A37" s="73"/>
      <c r="B37" s="25"/>
      <c r="C37" s="25"/>
      <c r="D37" s="25"/>
      <c r="E37" s="74"/>
      <c r="F37" s="20"/>
    </row>
    <row r="38" spans="1:6" x14ac:dyDescent="0.25">
      <c r="A38" s="73"/>
      <c r="B38" s="25"/>
      <c r="C38" s="25"/>
      <c r="D38" s="25"/>
      <c r="E38" s="74"/>
      <c r="F38" s="20"/>
    </row>
    <row r="39" spans="1:6" x14ac:dyDescent="0.25">
      <c r="A39" s="73"/>
      <c r="B39" s="25"/>
      <c r="C39" s="25"/>
      <c r="D39" s="25"/>
      <c r="E39" s="74"/>
      <c r="F39" s="20"/>
    </row>
    <row r="40" spans="1:6" x14ac:dyDescent="0.25">
      <c r="A40" s="103" t="s">
        <v>89</v>
      </c>
      <c r="B40" s="103"/>
      <c r="C40" s="103"/>
      <c r="D40" s="103"/>
      <c r="E40" s="103"/>
      <c r="F40" s="103"/>
    </row>
    <row r="41" spans="1:6" x14ac:dyDescent="0.25">
      <c r="A41" s="43">
        <v>4</v>
      </c>
      <c r="B41" s="81" t="s">
        <v>125</v>
      </c>
      <c r="C41" s="81"/>
      <c r="D41" s="81"/>
      <c r="E41" s="81"/>
      <c r="F41" s="81"/>
    </row>
    <row r="43" spans="1:6" x14ac:dyDescent="0.25">
      <c r="A43" s="44" t="s">
        <v>126</v>
      </c>
      <c r="B43" s="44" t="s">
        <v>63</v>
      </c>
    </row>
    <row r="44" spans="1:6" x14ac:dyDescent="0.25">
      <c r="A44" s="17">
        <v>3008</v>
      </c>
      <c r="B44" s="45">
        <f>_xlfn.XLOOKUP(A44,A5:A25,D5:D25)</f>
        <v>91659</v>
      </c>
    </row>
    <row r="45" spans="1:6" x14ac:dyDescent="0.25">
      <c r="A45" s="19"/>
      <c r="B45" s="25"/>
      <c r="C45" s="75"/>
    </row>
    <row r="46" spans="1:6" x14ac:dyDescent="0.25">
      <c r="A46" s="19"/>
      <c r="B46" s="25"/>
      <c r="C46" s="75"/>
    </row>
    <row r="47" spans="1:6" x14ac:dyDescent="0.25">
      <c r="A47" s="19"/>
      <c r="B47" s="25"/>
      <c r="C47" s="75"/>
    </row>
    <row r="48" spans="1:6" x14ac:dyDescent="0.25">
      <c r="A48" s="19"/>
      <c r="B48" s="25"/>
      <c r="C48" s="75"/>
    </row>
    <row r="49" spans="1:6" x14ac:dyDescent="0.25">
      <c r="A49" s="103" t="s">
        <v>89</v>
      </c>
      <c r="B49" s="103"/>
      <c r="C49" s="103"/>
      <c r="D49" s="103"/>
      <c r="E49" s="103"/>
      <c r="F49" s="103"/>
    </row>
    <row r="50" spans="1:6" x14ac:dyDescent="0.25">
      <c r="A50" s="43">
        <v>5</v>
      </c>
      <c r="B50" s="81" t="s">
        <v>130</v>
      </c>
      <c r="C50" s="81"/>
      <c r="D50" s="81"/>
      <c r="E50" s="81"/>
      <c r="F50" s="81"/>
    </row>
    <row r="52" spans="1:6" x14ac:dyDescent="0.25">
      <c r="A52" s="24" t="s">
        <v>131</v>
      </c>
      <c r="B52" s="24" t="s">
        <v>132</v>
      </c>
      <c r="C52" s="24" t="s">
        <v>134</v>
      </c>
    </row>
    <row r="53" spans="1:6" x14ac:dyDescent="0.25">
      <c r="A53" s="17" t="s">
        <v>137</v>
      </c>
      <c r="B53" s="17" t="s">
        <v>133</v>
      </c>
      <c r="C53" s="17" t="str" cm="1">
        <f t="array" aca="1" ref="C53" ca="1">INDIRECT(B53,TRUE)</f>
        <v>Employee 7</v>
      </c>
    </row>
    <row r="54" spans="1:6" x14ac:dyDescent="0.25">
      <c r="A54" s="17" t="s">
        <v>135</v>
      </c>
      <c r="B54" s="17" t="s">
        <v>136</v>
      </c>
      <c r="C54" s="45" cm="1">
        <f t="array" aca="1" ref="C54" ca="1">INDIRECT(B54,FALSE)</f>
        <v>35960</v>
      </c>
    </row>
  </sheetData>
  <mergeCells count="9">
    <mergeCell ref="B50:F50"/>
    <mergeCell ref="B31:F31"/>
    <mergeCell ref="A1:F1"/>
    <mergeCell ref="B2:F2"/>
    <mergeCell ref="B41:F41"/>
    <mergeCell ref="A30:F30"/>
    <mergeCell ref="A40:F40"/>
    <mergeCell ref="A49:F49"/>
    <mergeCell ref="B3:F3"/>
  </mergeCells>
  <dataValidations count="1">
    <dataValidation type="list" allowBlank="1" showInputMessage="1" showErrorMessage="1" sqref="B50 A44 B45:B48 A34" xr:uid="{656F3FD8-EF20-4527-945B-1832D6292995}">
      <formula1>$A$5:$A$25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 Grade </vt:lpstr>
      <vt:lpstr>Sales Date</vt:lpstr>
      <vt:lpstr>Employee 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himanshi_sangani@outlook.com</dc:creator>
  <cp:lastModifiedBy>himanshi_sangani@outlook.com</cp:lastModifiedBy>
  <dcterms:created xsi:type="dcterms:W3CDTF">2026-09-29T02:23:31Z</dcterms:created>
  <dcterms:modified xsi:type="dcterms:W3CDTF">2026-09-30T03:05:33Z</dcterms:modified>
</cp:coreProperties>
</file>